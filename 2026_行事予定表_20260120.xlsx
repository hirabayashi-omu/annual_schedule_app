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munet.sharepoint.com/sites/msteams_f2c9ac/Shared Documents/72．行事予定表＜2026年度＞（調整・作成中）/"/>
    </mc:Choice>
  </mc:AlternateContent>
  <xr:revisionPtr revIDLastSave="0" documentId="13_ncr:1_{D1962AEF-2BE5-4663-9EFF-4A27B488B91B}" xr6:coauthVersionLast="47" xr6:coauthVersionMax="47" xr10:uidLastSave="{00000000-0000-0000-0000-000000000000}"/>
  <bookViews>
    <workbookView xWindow="-120" yWindow="-120" windowWidth="29040" windowHeight="15720" tabRatio="703" xr2:uid="{00000000-000D-0000-FFFF-FFFF00000000}"/>
  </bookViews>
  <sheets>
    <sheet name="2026前期" sheetId="98" r:id="rId1"/>
    <sheet name="2026後期" sheetId="99" r:id="rId2"/>
    <sheet name="2026授業回数" sheetId="100" r:id="rId3"/>
    <sheet name="2023前期" sheetId="87" state="hidden" r:id="rId4"/>
    <sheet name="2023後期" sheetId="88" state="hidden" r:id="rId5"/>
    <sheet name="2024年度⇒" sheetId="96" state="hidden" r:id="rId6"/>
    <sheet name="本科" sheetId="74" r:id="rId7"/>
    <sheet name="拡大1" sheetId="97" r:id="rId8"/>
    <sheet name="拡大2" sheetId="83" r:id="rId9"/>
    <sheet name="拡大版は列幅をそろえて貼り付け" sheetId="82" state="hidden" r:id="rId10"/>
    <sheet name="国民の休日" sheetId="89" state="hidden" r:id="rId11"/>
    <sheet name="2026変更履歴 " sheetId="101" r:id="rId12"/>
  </sheets>
  <definedNames>
    <definedName name="_xlnm.Print_Area" localSheetId="4">'2023後期'!$A$1:$Z$38</definedName>
    <definedName name="_xlnm.Print_Area" localSheetId="3">'2023前期'!$A$1:$Z$38</definedName>
    <definedName name="_xlnm.Print_Area" localSheetId="1">'2026後期'!$A$1:$Z$38</definedName>
    <definedName name="_xlnm.Print_Area" localSheetId="2">'2026授業回数'!$A$1:$P$18</definedName>
    <definedName name="_xlnm.Print_Area" localSheetId="0">'2026前期'!$A$1:$Z$38</definedName>
    <definedName name="_xlnm.Print_Area" localSheetId="6">本科!$A:$Z</definedName>
    <definedName name="あ">#REF!</definedName>
    <definedName name="拡大弐">#REF!</definedName>
    <definedName name="学校休" localSheetId="10">国民の休日!$A$2:$B$19</definedName>
    <definedName name="学校休">#REF!</definedName>
    <definedName name="国民の休日" localSheetId="10">国民の休日!$A$2:$A$12</definedName>
    <definedName name="国民の休日">#REF!</definedName>
    <definedName name="祝日">#REF!</definedName>
    <definedName name="無授業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8" i="99" l="1"/>
  <c r="N38" i="99"/>
  <c r="J38" i="99"/>
  <c r="B38" i="99"/>
  <c r="V37" i="99"/>
  <c r="N37" i="99"/>
  <c r="J37" i="99"/>
  <c r="F37" i="99"/>
  <c r="B37" i="99"/>
  <c r="V36" i="99"/>
  <c r="N36" i="99"/>
  <c r="J36" i="99"/>
  <c r="F36" i="99"/>
  <c r="B36" i="99"/>
  <c r="V35" i="99"/>
  <c r="R35" i="99"/>
  <c r="N35" i="99"/>
  <c r="J35" i="99"/>
  <c r="F35" i="99"/>
  <c r="B35" i="99"/>
  <c r="V34" i="99"/>
  <c r="R34" i="99"/>
  <c r="N34" i="99"/>
  <c r="J34" i="99"/>
  <c r="F34" i="99"/>
  <c r="B34" i="99"/>
  <c r="V33" i="99"/>
  <c r="R33" i="99"/>
  <c r="N33" i="99"/>
  <c r="J33" i="99"/>
  <c r="F33" i="99"/>
  <c r="B33" i="99"/>
  <c r="V32" i="99"/>
  <c r="R32" i="99"/>
  <c r="N32" i="99"/>
  <c r="J32" i="99"/>
  <c r="F32" i="99"/>
  <c r="B32" i="99"/>
  <c r="V31" i="99"/>
  <c r="R31" i="99"/>
  <c r="N31" i="99"/>
  <c r="J31" i="99"/>
  <c r="F31" i="99"/>
  <c r="B31" i="99"/>
  <c r="V30" i="99"/>
  <c r="R30" i="99"/>
  <c r="N30" i="99"/>
  <c r="J30" i="99"/>
  <c r="F30" i="99"/>
  <c r="B30" i="99"/>
  <c r="V29" i="99"/>
  <c r="R29" i="99"/>
  <c r="N29" i="99"/>
  <c r="J29" i="99"/>
  <c r="F29" i="99"/>
  <c r="B29" i="99"/>
  <c r="V28" i="99"/>
  <c r="R28" i="99"/>
  <c r="N28" i="99"/>
  <c r="J28" i="99"/>
  <c r="F28" i="99"/>
  <c r="B28" i="99"/>
  <c r="V27" i="99"/>
  <c r="R27" i="99"/>
  <c r="N27" i="99"/>
  <c r="J27" i="99"/>
  <c r="F27" i="99"/>
  <c r="B27" i="99"/>
  <c r="V26" i="99"/>
  <c r="R26" i="99"/>
  <c r="N26" i="99"/>
  <c r="J26" i="99"/>
  <c r="F26" i="99"/>
  <c r="B26" i="99"/>
  <c r="V25" i="99"/>
  <c r="R25" i="99"/>
  <c r="N25" i="99"/>
  <c r="J25" i="99"/>
  <c r="F25" i="99"/>
  <c r="B25" i="99"/>
  <c r="V24" i="99"/>
  <c r="R24" i="99"/>
  <c r="N24" i="99"/>
  <c r="J24" i="99"/>
  <c r="F24" i="99"/>
  <c r="B24" i="99"/>
  <c r="V23" i="99"/>
  <c r="R23" i="99"/>
  <c r="N23" i="99"/>
  <c r="J23" i="99"/>
  <c r="F23" i="99"/>
  <c r="B23" i="99"/>
  <c r="V22" i="99"/>
  <c r="R22" i="99"/>
  <c r="N22" i="99"/>
  <c r="J22" i="99"/>
  <c r="F22" i="99"/>
  <c r="B22" i="99"/>
  <c r="V21" i="99"/>
  <c r="R21" i="99"/>
  <c r="N21" i="99"/>
  <c r="J21" i="99"/>
  <c r="F21" i="99"/>
  <c r="B21" i="99"/>
  <c r="V20" i="99"/>
  <c r="R20" i="99"/>
  <c r="N20" i="99"/>
  <c r="J20" i="99"/>
  <c r="F20" i="99"/>
  <c r="B20" i="99"/>
  <c r="V19" i="99"/>
  <c r="R19" i="99"/>
  <c r="N19" i="99"/>
  <c r="J19" i="99"/>
  <c r="F19" i="99"/>
  <c r="B19" i="99"/>
  <c r="V18" i="99"/>
  <c r="R18" i="99"/>
  <c r="N18" i="99"/>
  <c r="J18" i="99"/>
  <c r="F18" i="99"/>
  <c r="B18" i="99"/>
  <c r="V17" i="99"/>
  <c r="R17" i="99"/>
  <c r="N17" i="99"/>
  <c r="J17" i="99"/>
  <c r="F17" i="99"/>
  <c r="B17" i="99"/>
  <c r="V16" i="99"/>
  <c r="R16" i="99"/>
  <c r="N16" i="99"/>
  <c r="J16" i="99"/>
  <c r="F16" i="99"/>
  <c r="B16" i="99"/>
  <c r="V15" i="99"/>
  <c r="R15" i="99"/>
  <c r="N15" i="99"/>
  <c r="J15" i="99"/>
  <c r="F15" i="99"/>
  <c r="B15" i="99"/>
  <c r="V14" i="99"/>
  <c r="R14" i="99"/>
  <c r="N14" i="99"/>
  <c r="J14" i="99"/>
  <c r="F14" i="99"/>
  <c r="B14" i="99"/>
  <c r="V13" i="99"/>
  <c r="R13" i="99"/>
  <c r="N13" i="99"/>
  <c r="J13" i="99"/>
  <c r="F13" i="99"/>
  <c r="B13" i="99"/>
  <c r="V12" i="99"/>
  <c r="R12" i="99"/>
  <c r="N12" i="99"/>
  <c r="J12" i="99"/>
  <c r="F12" i="99"/>
  <c r="B12" i="99"/>
  <c r="V11" i="99"/>
  <c r="R11" i="99"/>
  <c r="N11" i="99"/>
  <c r="J11" i="99"/>
  <c r="F11" i="99"/>
  <c r="B11" i="99"/>
  <c r="V10" i="99"/>
  <c r="R10" i="99"/>
  <c r="N10" i="99"/>
  <c r="J10" i="99"/>
  <c r="F10" i="99"/>
  <c r="B10" i="99"/>
  <c r="V9" i="99"/>
  <c r="R9" i="99"/>
  <c r="N9" i="99"/>
  <c r="J9" i="99"/>
  <c r="F9" i="99"/>
  <c r="B9" i="99"/>
  <c r="V8" i="99"/>
  <c r="R8" i="99"/>
  <c r="N8" i="99"/>
  <c r="J8" i="99"/>
  <c r="F8" i="99"/>
  <c r="B8" i="99"/>
  <c r="E1" i="99"/>
  <c r="R38" i="98"/>
  <c r="N38" i="98"/>
  <c r="F38" i="98"/>
  <c r="V37" i="98"/>
  <c r="R37" i="98"/>
  <c r="N37" i="98"/>
  <c r="J37" i="98"/>
  <c r="F37" i="98"/>
  <c r="B37" i="98"/>
  <c r="V36" i="98"/>
  <c r="R36" i="98"/>
  <c r="N36" i="98"/>
  <c r="J36" i="98"/>
  <c r="F36" i="98"/>
  <c r="B36" i="98"/>
  <c r="V35" i="98"/>
  <c r="R35" i="98"/>
  <c r="N35" i="98"/>
  <c r="J35" i="98"/>
  <c r="F35" i="98"/>
  <c r="B35" i="98"/>
  <c r="V34" i="98"/>
  <c r="R34" i="98"/>
  <c r="N34" i="98"/>
  <c r="J34" i="98"/>
  <c r="F34" i="98"/>
  <c r="B34" i="98"/>
  <c r="V33" i="98"/>
  <c r="R33" i="98"/>
  <c r="N33" i="98"/>
  <c r="J33" i="98"/>
  <c r="F33" i="98"/>
  <c r="B33" i="98"/>
  <c r="V32" i="98"/>
  <c r="R32" i="98"/>
  <c r="N32" i="98"/>
  <c r="J32" i="98"/>
  <c r="F32" i="98"/>
  <c r="B32" i="98"/>
  <c r="V31" i="98"/>
  <c r="R31" i="98"/>
  <c r="N31" i="98"/>
  <c r="J31" i="98"/>
  <c r="F31" i="98"/>
  <c r="B31" i="98"/>
  <c r="V30" i="98"/>
  <c r="R30" i="98"/>
  <c r="N30" i="98"/>
  <c r="J30" i="98"/>
  <c r="F30" i="98"/>
  <c r="B30" i="98"/>
  <c r="V29" i="98"/>
  <c r="R29" i="98"/>
  <c r="N29" i="98"/>
  <c r="J29" i="98"/>
  <c r="F29" i="98"/>
  <c r="B29" i="98"/>
  <c r="V28" i="98"/>
  <c r="R28" i="98"/>
  <c r="N28" i="98"/>
  <c r="J28" i="98"/>
  <c r="F28" i="98"/>
  <c r="B28" i="98"/>
  <c r="V27" i="98"/>
  <c r="R27" i="98"/>
  <c r="N27" i="98"/>
  <c r="J27" i="98"/>
  <c r="F27" i="98"/>
  <c r="B27" i="98"/>
  <c r="V26" i="98"/>
  <c r="R26" i="98"/>
  <c r="N26" i="98"/>
  <c r="J26" i="98"/>
  <c r="F26" i="98"/>
  <c r="B26" i="98"/>
  <c r="V25" i="98"/>
  <c r="R25" i="98"/>
  <c r="N25" i="98"/>
  <c r="J25" i="98"/>
  <c r="F25" i="98"/>
  <c r="B25" i="98"/>
  <c r="V24" i="98"/>
  <c r="R24" i="98"/>
  <c r="N24" i="98"/>
  <c r="J24" i="98"/>
  <c r="F24" i="98"/>
  <c r="B24" i="98"/>
  <c r="V23" i="98"/>
  <c r="R23" i="98"/>
  <c r="N23" i="98"/>
  <c r="J23" i="98"/>
  <c r="F23" i="98"/>
  <c r="B23" i="98"/>
  <c r="V22" i="98"/>
  <c r="R22" i="98"/>
  <c r="N22" i="98"/>
  <c r="J22" i="98"/>
  <c r="F22" i="98"/>
  <c r="B22" i="98"/>
  <c r="V21" i="98"/>
  <c r="R21" i="98"/>
  <c r="N21" i="98"/>
  <c r="J21" i="98"/>
  <c r="F21" i="98"/>
  <c r="B21" i="98"/>
  <c r="V20" i="98"/>
  <c r="R20" i="98"/>
  <c r="N20" i="98"/>
  <c r="J20" i="98"/>
  <c r="F20" i="98"/>
  <c r="B20" i="98"/>
  <c r="V19" i="98"/>
  <c r="R19" i="98"/>
  <c r="N19" i="98"/>
  <c r="J19" i="98"/>
  <c r="F19" i="98"/>
  <c r="B19" i="98"/>
  <c r="V18" i="98"/>
  <c r="R18" i="98"/>
  <c r="N18" i="98"/>
  <c r="J18" i="98"/>
  <c r="F18" i="98"/>
  <c r="B18" i="98"/>
  <c r="V17" i="98"/>
  <c r="R17" i="98"/>
  <c r="N17" i="98"/>
  <c r="J17" i="98"/>
  <c r="F17" i="98"/>
  <c r="B17" i="98"/>
  <c r="V16" i="98"/>
  <c r="R16" i="98"/>
  <c r="N16" i="98"/>
  <c r="J16" i="98"/>
  <c r="F16" i="98"/>
  <c r="B16" i="98"/>
  <c r="V15" i="98"/>
  <c r="R15" i="98"/>
  <c r="N15" i="98"/>
  <c r="J15" i="98"/>
  <c r="F15" i="98"/>
  <c r="B15" i="98"/>
  <c r="V14" i="98"/>
  <c r="R14" i="98"/>
  <c r="N14" i="98"/>
  <c r="J14" i="98"/>
  <c r="F14" i="98"/>
  <c r="B14" i="98"/>
  <c r="V13" i="98"/>
  <c r="R13" i="98"/>
  <c r="N13" i="98"/>
  <c r="J13" i="98"/>
  <c r="F13" i="98"/>
  <c r="B13" i="98"/>
  <c r="V12" i="98"/>
  <c r="R12" i="98"/>
  <c r="N12" i="98"/>
  <c r="J12" i="98"/>
  <c r="F12" i="98"/>
  <c r="B12" i="98"/>
  <c r="V11" i="98"/>
  <c r="R11" i="98"/>
  <c r="N11" i="98"/>
  <c r="J11" i="98"/>
  <c r="F11" i="98"/>
  <c r="B11" i="98"/>
  <c r="V10" i="98"/>
  <c r="R10" i="98"/>
  <c r="N10" i="98"/>
  <c r="J10" i="98"/>
  <c r="F10" i="98"/>
  <c r="B10" i="98"/>
  <c r="V9" i="98"/>
  <c r="R9" i="98"/>
  <c r="N9" i="98"/>
  <c r="J9" i="98"/>
  <c r="F9" i="98"/>
  <c r="B9" i="98"/>
  <c r="V8" i="98"/>
  <c r="R8" i="98"/>
  <c r="N8" i="98"/>
  <c r="J8" i="98"/>
  <c r="F8" i="98"/>
  <c r="B8" i="98"/>
  <c r="E1" i="98"/>
  <c r="B28" i="87"/>
  <c r="B29" i="87"/>
  <c r="B30" i="87"/>
  <c r="B31" i="87"/>
  <c r="B32" i="87"/>
  <c r="B33" i="87"/>
  <c r="B34" i="87"/>
  <c r="B35" i="87"/>
  <c r="B36" i="87"/>
  <c r="B37" i="87"/>
  <c r="B27" i="87"/>
  <c r="V21" i="87"/>
  <c r="R21" i="87"/>
  <c r="N21" i="87"/>
  <c r="J21" i="87"/>
  <c r="F21" i="87"/>
  <c r="B21" i="87"/>
  <c r="E1" i="88"/>
  <c r="E1" i="87"/>
  <c r="R36" i="88"/>
  <c r="V38" i="88"/>
  <c r="V37" i="88"/>
  <c r="V36" i="88"/>
  <c r="V35" i="88"/>
  <c r="V34" i="88"/>
  <c r="V33" i="88"/>
  <c r="V32" i="88"/>
  <c r="V31" i="88"/>
  <c r="V30" i="88"/>
  <c r="V29" i="88"/>
  <c r="V28" i="88"/>
  <c r="V27" i="88"/>
  <c r="V26" i="88"/>
  <c r="V25" i="88"/>
  <c r="V24" i="88"/>
  <c r="V23" i="88"/>
  <c r="V22" i="88"/>
  <c r="V21" i="88"/>
  <c r="V20" i="88"/>
  <c r="V19" i="88"/>
  <c r="V18" i="88"/>
  <c r="V17" i="88"/>
  <c r="V16" i="88"/>
  <c r="V15" i="88"/>
  <c r="V14" i="88"/>
  <c r="V13" i="88"/>
  <c r="V12" i="88"/>
  <c r="V11" i="88"/>
  <c r="V10" i="88"/>
  <c r="V9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N38" i="88"/>
  <c r="N37" i="88"/>
  <c r="N36" i="88"/>
  <c r="N35" i="88"/>
  <c r="N34" i="88"/>
  <c r="N33" i="88"/>
  <c r="N32" i="88"/>
  <c r="N31" i="88"/>
  <c r="N30" i="88"/>
  <c r="N29" i="88"/>
  <c r="N28" i="88"/>
  <c r="N27" i="88"/>
  <c r="N26" i="88"/>
  <c r="N25" i="88"/>
  <c r="N24" i="88"/>
  <c r="N23" i="88"/>
  <c r="N22" i="88"/>
  <c r="N21" i="88"/>
  <c r="N20" i="88"/>
  <c r="N19" i="88"/>
  <c r="N18" i="88"/>
  <c r="N17" i="88"/>
  <c r="N16" i="88"/>
  <c r="N15" i="88"/>
  <c r="N14" i="88"/>
  <c r="N13" i="88"/>
  <c r="N12" i="88"/>
  <c r="N11" i="88"/>
  <c r="N10" i="88"/>
  <c r="N9" i="88"/>
  <c r="J38" i="88"/>
  <c r="J37" i="88"/>
  <c r="J36" i="88"/>
  <c r="J35" i="88"/>
  <c r="J34" i="88"/>
  <c r="J33" i="88"/>
  <c r="J32" i="88"/>
  <c r="J31" i="88"/>
  <c r="J30" i="88"/>
  <c r="J29" i="88"/>
  <c r="J28" i="88"/>
  <c r="J27" i="88"/>
  <c r="J26" i="88"/>
  <c r="J25" i="88"/>
  <c r="J24" i="88"/>
  <c r="J23" i="88"/>
  <c r="J22" i="88"/>
  <c r="J21" i="88"/>
  <c r="J20" i="88"/>
  <c r="J19" i="88"/>
  <c r="J18" i="88"/>
  <c r="J17" i="88"/>
  <c r="J16" i="88"/>
  <c r="J15" i="88"/>
  <c r="J14" i="88"/>
  <c r="J13" i="88"/>
  <c r="J12" i="88"/>
  <c r="J11" i="88"/>
  <c r="J10" i="88"/>
  <c r="J9" i="88"/>
  <c r="F37" i="88"/>
  <c r="F36" i="88"/>
  <c r="F35" i="88"/>
  <c r="F34" i="88"/>
  <c r="F33" i="88"/>
  <c r="F32" i="88"/>
  <c r="F31" i="88"/>
  <c r="F30" i="88"/>
  <c r="F29" i="88"/>
  <c r="F28" i="88"/>
  <c r="F27" i="88"/>
  <c r="F26" i="88"/>
  <c r="F25" i="88"/>
  <c r="F24" i="88"/>
  <c r="F23" i="88"/>
  <c r="F22" i="88"/>
  <c r="F21" i="88"/>
  <c r="F20" i="88"/>
  <c r="F19" i="88"/>
  <c r="F18" i="88"/>
  <c r="F17" i="88"/>
  <c r="F16" i="88"/>
  <c r="F15" i="88"/>
  <c r="F14" i="88"/>
  <c r="F13" i="88"/>
  <c r="F12" i="88"/>
  <c r="F11" i="88"/>
  <c r="F10" i="88"/>
  <c r="F9" i="88"/>
  <c r="B38" i="88"/>
  <c r="B37" i="88"/>
  <c r="B36" i="88"/>
  <c r="B35" i="88"/>
  <c r="B34" i="88"/>
  <c r="B33" i="88"/>
  <c r="B32" i="88"/>
  <c r="B31" i="88"/>
  <c r="B30" i="88"/>
  <c r="B29" i="88"/>
  <c r="B28" i="88"/>
  <c r="B27" i="88"/>
  <c r="B26" i="88"/>
  <c r="B25" i="88"/>
  <c r="B24" i="88"/>
  <c r="B23" i="88"/>
  <c r="B22" i="88"/>
  <c r="B21" i="88"/>
  <c r="B20" i="88"/>
  <c r="B19" i="88"/>
  <c r="B18" i="88"/>
  <c r="B17" i="88"/>
  <c r="B16" i="88"/>
  <c r="B15" i="88"/>
  <c r="B14" i="88"/>
  <c r="B13" i="88"/>
  <c r="B12" i="88"/>
  <c r="B11" i="88"/>
  <c r="B10" i="88"/>
  <c r="B9" i="88"/>
  <c r="V8" i="88"/>
  <c r="R8" i="88"/>
  <c r="N8" i="88"/>
  <c r="J8" i="88"/>
  <c r="F8" i="88"/>
  <c r="B8" i="88"/>
  <c r="V37" i="87"/>
  <c r="V36" i="87"/>
  <c r="V35" i="87"/>
  <c r="V34" i="87"/>
  <c r="V33" i="87"/>
  <c r="V32" i="87"/>
  <c r="V31" i="87"/>
  <c r="V30" i="87"/>
  <c r="V29" i="87"/>
  <c r="V28" i="87"/>
  <c r="V27" i="87"/>
  <c r="V26" i="87"/>
  <c r="V25" i="87"/>
  <c r="V24" i="87"/>
  <c r="V23" i="87"/>
  <c r="V22" i="87"/>
  <c r="V20" i="87"/>
  <c r="V19" i="87"/>
  <c r="V18" i="87"/>
  <c r="V17" i="87"/>
  <c r="V16" i="87"/>
  <c r="V15" i="87"/>
  <c r="V14" i="87"/>
  <c r="V13" i="87"/>
  <c r="V12" i="87"/>
  <c r="V11" i="87"/>
  <c r="V10" i="87"/>
  <c r="V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N38" i="87"/>
  <c r="N37" i="87"/>
  <c r="N36" i="87"/>
  <c r="N35" i="87"/>
  <c r="N34" i="87"/>
  <c r="N33" i="87"/>
  <c r="N32" i="87"/>
  <c r="N31" i="87"/>
  <c r="N30" i="87"/>
  <c r="N29" i="87"/>
  <c r="N28" i="87"/>
  <c r="N27" i="87"/>
  <c r="N26" i="87"/>
  <c r="N25" i="87"/>
  <c r="N24" i="87"/>
  <c r="N23" i="87"/>
  <c r="N22" i="87"/>
  <c r="N20" i="87"/>
  <c r="N19" i="87"/>
  <c r="N18" i="87"/>
  <c r="N17" i="87"/>
  <c r="N16" i="87"/>
  <c r="N15" i="87"/>
  <c r="N14" i="87"/>
  <c r="N13" i="87"/>
  <c r="N12" i="87"/>
  <c r="N11" i="87"/>
  <c r="N10" i="87"/>
  <c r="N9" i="87"/>
  <c r="J37" i="87"/>
  <c r="J36" i="87"/>
  <c r="J35" i="87"/>
  <c r="J34" i="87"/>
  <c r="J33" i="87"/>
  <c r="J32" i="87"/>
  <c r="J31" i="87"/>
  <c r="J30" i="87"/>
  <c r="J29" i="87"/>
  <c r="J28" i="87"/>
  <c r="J27" i="87"/>
  <c r="J26" i="87"/>
  <c r="J25" i="87"/>
  <c r="J24" i="87"/>
  <c r="J23" i="87"/>
  <c r="J22" i="87"/>
  <c r="J20" i="87"/>
  <c r="J19" i="87"/>
  <c r="J18" i="87"/>
  <c r="J17" i="87"/>
  <c r="J16" i="87"/>
  <c r="J15" i="87"/>
  <c r="J14" i="87"/>
  <c r="J13" i="87"/>
  <c r="J12" i="87"/>
  <c r="J11" i="87"/>
  <c r="J10" i="87"/>
  <c r="J9" i="87"/>
  <c r="F38" i="87"/>
  <c r="F37" i="87"/>
  <c r="F36" i="87"/>
  <c r="F35" i="87"/>
  <c r="F34" i="87"/>
  <c r="F33" i="87"/>
  <c r="F32" i="87"/>
  <c r="F31" i="87"/>
  <c r="F30" i="87"/>
  <c r="F29" i="87"/>
  <c r="F28" i="87"/>
  <c r="F27" i="87"/>
  <c r="F26" i="87"/>
  <c r="F25" i="87"/>
  <c r="F24" i="87"/>
  <c r="F23" i="87"/>
  <c r="F22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V8" i="87"/>
  <c r="R8" i="87"/>
  <c r="N8" i="87"/>
  <c r="J8" i="87"/>
  <c r="F8" i="87"/>
  <c r="B26" i="87"/>
  <c r="B25" i="87"/>
  <c r="B24" i="87"/>
  <c r="B23" i="87"/>
  <c r="B22" i="87"/>
  <c r="B20" i="87"/>
  <c r="B19" i="87"/>
  <c r="B18" i="87"/>
  <c r="B17" i="87"/>
  <c r="B16" i="87"/>
  <c r="B15" i="87"/>
  <c r="B14" i="87"/>
  <c r="B13" i="87"/>
  <c r="B12" i="87"/>
  <c r="B11" i="87"/>
  <c r="B10" i="87"/>
  <c r="B9" i="87"/>
  <c r="B8" i="87"/>
  <c r="O3" i="74"/>
  <c r="C3" i="74"/>
</calcChain>
</file>

<file path=xl/sharedStrings.xml><?xml version="1.0" encoding="utf-8"?>
<sst xmlns="http://schemas.openxmlformats.org/spreadsheetml/2006/main" count="2316" uniqueCount="646">
  <si>
    <t>教職員用</t>
  </si>
  <si>
    <t>年度 行事予定表（前期）</t>
    <phoneticPr fontId="19"/>
  </si>
  <si>
    <t>大阪公立大学工業高等専門学校</t>
    <rPh sb="2" eb="4">
      <t>コウリツ</t>
    </rPh>
    <phoneticPr fontId="19"/>
  </si>
  <si>
    <t>【機密性２・学内に限る】</t>
    <rPh sb="1" eb="3">
      <t>キミツ</t>
    </rPh>
    <rPh sb="3" eb="4">
      <t>セイ</t>
    </rPh>
    <rPh sb="6" eb="8">
      <t>ガクナイ</t>
    </rPh>
    <rPh sb="9" eb="10">
      <t>カギ</t>
    </rPh>
    <phoneticPr fontId="19"/>
  </si>
  <si>
    <r>
      <rPr>
        <b/>
        <sz val="20"/>
        <color rgb="FF000000"/>
        <rFont val="Segoe UI Symbol"/>
        <family val="2"/>
      </rPr>
      <t>●</t>
    </r>
    <r>
      <rPr>
        <b/>
        <sz val="20"/>
        <color rgb="FF000000"/>
        <rFont val="Arial"/>
        <family val="2"/>
      </rPr>
      <t xml:space="preserve"> </t>
    </r>
    <r>
      <rPr>
        <b/>
        <sz val="20"/>
        <color rgb="FF000000"/>
        <rFont val="ＭＳ ゴシック"/>
        <family val="3"/>
        <charset val="128"/>
      </rPr>
      <t>：</t>
    </r>
    <r>
      <rPr>
        <b/>
        <sz val="20"/>
        <color rgb="FF000000"/>
        <rFont val="Arial"/>
        <family val="2"/>
      </rPr>
      <t xml:space="preserve"> </t>
    </r>
    <r>
      <rPr>
        <b/>
        <sz val="20"/>
        <color rgb="FF000000"/>
        <rFont val="ＭＳ Ｐゴシック"/>
        <family val="2"/>
        <charset val="128"/>
      </rPr>
      <t>教職員会議（第</t>
    </r>
    <r>
      <rPr>
        <b/>
        <sz val="20"/>
        <color rgb="FF000000"/>
        <rFont val="Arial"/>
        <family val="2"/>
      </rPr>
      <t>1</t>
    </r>
    <r>
      <rPr>
        <b/>
        <sz val="20"/>
        <color rgb="FF000000"/>
        <rFont val="ＭＳ Ｐゴシック"/>
        <family val="2"/>
        <charset val="128"/>
      </rPr>
      <t>水曜日）</t>
    </r>
    <rPh sb="4" eb="7">
      <t>キョウショクイン</t>
    </rPh>
    <rPh sb="7" eb="9">
      <t>カイギ</t>
    </rPh>
    <rPh sb="10" eb="11">
      <t>ダイ</t>
    </rPh>
    <rPh sb="12" eb="15">
      <t>スイヨウビ</t>
    </rPh>
    <phoneticPr fontId="19"/>
  </si>
  <si>
    <r>
      <rPr>
        <b/>
        <sz val="20"/>
        <color rgb="FFFF0000"/>
        <rFont val="Segoe UI Symbol"/>
        <family val="2"/>
      </rPr>
      <t>◆</t>
    </r>
    <r>
      <rPr>
        <b/>
        <sz val="20"/>
        <color rgb="FFFF0000"/>
        <rFont val="ＭＳ Ｐゴシック"/>
        <family val="2"/>
        <charset val="128"/>
      </rPr>
      <t>　：　高専教授会</t>
    </r>
    <r>
      <rPr>
        <b/>
        <sz val="20"/>
        <color rgb="FFFF0000"/>
        <rFont val="ＭＳ Ｐゴシック"/>
        <family val="3"/>
        <charset val="128"/>
      </rPr>
      <t>（廃止予定）</t>
    </r>
    <rPh sb="4" eb="6">
      <t>コウセン</t>
    </rPh>
    <rPh sb="6" eb="9">
      <t>キョウジュカイ</t>
    </rPh>
    <rPh sb="10" eb="12">
      <t>ハイシ</t>
    </rPh>
    <rPh sb="12" eb="14">
      <t>ヨテイ</t>
    </rPh>
    <phoneticPr fontId="19"/>
  </si>
  <si>
    <r>
      <rPr>
        <b/>
        <sz val="20"/>
        <color rgb="FF000000"/>
        <rFont val="Segoe UI Symbol"/>
        <family val="2"/>
      </rPr>
      <t>■</t>
    </r>
    <r>
      <rPr>
        <b/>
        <sz val="20"/>
        <color rgb="FF000000"/>
        <rFont val="Arial"/>
        <family val="2"/>
      </rPr>
      <t xml:space="preserve"> </t>
    </r>
    <r>
      <rPr>
        <b/>
        <sz val="20"/>
        <color rgb="FF000000"/>
        <rFont val="ＭＳ ゴシック"/>
        <family val="3"/>
        <charset val="128"/>
      </rPr>
      <t>：</t>
    </r>
    <r>
      <rPr>
        <b/>
        <sz val="20"/>
        <color rgb="FF000000"/>
        <rFont val="Arial"/>
        <family val="2"/>
      </rPr>
      <t xml:space="preserve"> </t>
    </r>
    <r>
      <rPr>
        <b/>
        <sz val="20"/>
        <color rgb="FF000000"/>
        <rFont val="ＭＳ Ｐゴシック"/>
        <family val="2"/>
        <charset val="128"/>
      </rPr>
      <t>運営会議（最終週の水曜日、基本は第</t>
    </r>
    <r>
      <rPr>
        <b/>
        <sz val="20"/>
        <color rgb="FF000000"/>
        <rFont val="Arial"/>
        <family val="2"/>
      </rPr>
      <t>4</t>
    </r>
    <r>
      <rPr>
        <b/>
        <sz val="20"/>
        <color rgb="FF000000"/>
        <rFont val="ＭＳ Ｐゴシック"/>
        <family val="2"/>
        <charset val="128"/>
      </rPr>
      <t>）</t>
    </r>
    <rPh sb="4" eb="6">
      <t>ウンエイ</t>
    </rPh>
    <rPh sb="6" eb="8">
      <t>カイギ</t>
    </rPh>
    <rPh sb="9" eb="12">
      <t>サイシュウシュウ</t>
    </rPh>
    <rPh sb="13" eb="14">
      <t>スイ</t>
    </rPh>
    <rPh sb="14" eb="16">
      <t>ヨウビ</t>
    </rPh>
    <rPh sb="17" eb="19">
      <t>キホン</t>
    </rPh>
    <rPh sb="20" eb="21">
      <t>ダイ</t>
    </rPh>
    <phoneticPr fontId="19"/>
  </si>
  <si>
    <r>
      <rPr>
        <b/>
        <sz val="20"/>
        <rFont val="Segoe UI Symbol"/>
        <family val="2"/>
      </rPr>
      <t>○</t>
    </r>
    <r>
      <rPr>
        <b/>
        <sz val="20"/>
        <rFont val="ＭＳ Ｐゴシック"/>
        <family val="2"/>
        <charset val="128"/>
      </rPr>
      <t>　：系・コース会議（第</t>
    </r>
    <r>
      <rPr>
        <b/>
        <sz val="20"/>
        <rFont val="Arial"/>
        <family val="2"/>
      </rPr>
      <t>3</t>
    </r>
    <r>
      <rPr>
        <b/>
        <sz val="20"/>
        <rFont val="ＭＳ Ｐゴシック"/>
        <family val="2"/>
        <charset val="128"/>
      </rPr>
      <t>水曜日）</t>
    </r>
    <rPh sb="3" eb="4">
      <t>ケイ</t>
    </rPh>
    <rPh sb="8" eb="10">
      <t>カイギ</t>
    </rPh>
    <rPh sb="11" eb="12">
      <t>ダイ</t>
    </rPh>
    <rPh sb="13" eb="15">
      <t>スイヨウ</t>
    </rPh>
    <rPh sb="15" eb="16">
      <t>ビ</t>
    </rPh>
    <phoneticPr fontId="19"/>
  </si>
  <si>
    <r>
      <rPr>
        <sz val="20"/>
        <color rgb="FF000000"/>
        <rFont val="Segoe UI Symbol"/>
        <family val="1"/>
      </rPr>
      <t>△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：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全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日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休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講</t>
    </r>
    <phoneticPr fontId="19"/>
  </si>
  <si>
    <t>月</t>
  </si>
  <si>
    <t>本科</t>
  </si>
  <si>
    <t>備考</t>
  </si>
  <si>
    <t/>
  </si>
  <si>
    <t>春季休業開始
辞令・校長面談
新任教員研修
コース・選択科目発表　　　　　　　</t>
  </si>
  <si>
    <t>薬物乱用防止教室(2年)
●</t>
  </si>
  <si>
    <t>（広報企画室案）第２回学校説明会（中百舌鳥）</t>
  </si>
  <si>
    <t>合同担任会議
■</t>
    <phoneticPr fontId="19"/>
  </si>
  <si>
    <t>午前：運営会議(臨時)
午後：合同担任会議</t>
    <rPh sb="0" eb="2">
      <t>ゴゼン</t>
    </rPh>
    <rPh sb="3" eb="5">
      <t>ウンエイ</t>
    </rPh>
    <rPh sb="5" eb="7">
      <t>カイギ</t>
    </rPh>
    <rPh sb="8" eb="10">
      <t>リンジ</t>
    </rPh>
    <rPh sb="12" eb="14">
      <t>ゴゴ</t>
    </rPh>
    <rPh sb="15" eb="17">
      <t>ゴウドウ</t>
    </rPh>
    <rPh sb="17" eb="19">
      <t>タンニン</t>
    </rPh>
    <rPh sb="19" eb="21">
      <t>カイギ</t>
    </rPh>
    <phoneticPr fontId="19"/>
  </si>
  <si>
    <t xml:space="preserve">
</t>
  </si>
  <si>
    <t>●</t>
    <phoneticPr fontId="19"/>
  </si>
  <si>
    <t>午前：教職員会議</t>
    <rPh sb="0" eb="2">
      <t>ゴゼン</t>
    </rPh>
    <rPh sb="3" eb="6">
      <t>キョウショクイン</t>
    </rPh>
    <rPh sb="6" eb="8">
      <t>カイギ</t>
    </rPh>
    <phoneticPr fontId="19"/>
  </si>
  <si>
    <t>憲法記念日</t>
  </si>
  <si>
    <t>公開授業終了</t>
  </si>
  <si>
    <t>前期末試験④</t>
    <phoneticPr fontId="19"/>
  </si>
  <si>
    <t>みどりの日</t>
    <rPh sb="4" eb="5">
      <t>ヒ</t>
    </rPh>
    <phoneticPr fontId="19"/>
  </si>
  <si>
    <t>補講日
※1年木曜授業（宿泊オリテ振替）</t>
    <rPh sb="7" eb="8">
      <t>モク</t>
    </rPh>
    <phoneticPr fontId="19"/>
  </si>
  <si>
    <t>執行会議</t>
    <rPh sb="0" eb="2">
      <t>シッコウ</t>
    </rPh>
    <rPh sb="2" eb="4">
      <t>カイギ</t>
    </rPh>
    <phoneticPr fontId="19"/>
  </si>
  <si>
    <t>（広報企画室案）第１回学校説明会（中百舌鳥）</t>
  </si>
  <si>
    <t>主管　近畿高専体育大会（柔道）予定</t>
  </si>
  <si>
    <t>前期末試験⑤</t>
    <phoneticPr fontId="19"/>
  </si>
  <si>
    <t>日本高専学会第32回年会講演会（宇部高専）</t>
  </si>
  <si>
    <t>春季休業終了</t>
    <phoneticPr fontId="19"/>
  </si>
  <si>
    <t>こどもの日</t>
    <rPh sb="4" eb="5">
      <t>ヒ</t>
    </rPh>
    <phoneticPr fontId="19"/>
  </si>
  <si>
    <r>
      <t xml:space="preserve">前期中間試験①
</t>
    </r>
    <r>
      <rPr>
        <b/>
        <sz val="18"/>
        <color rgb="FFFF0000"/>
        <rFont val="ＭＳ Ｐゴシック"/>
        <family val="3"/>
        <charset val="128"/>
        <scheme val="minor"/>
      </rPr>
      <t>※1年芸術授業日（午前）・試験なし</t>
    </r>
    <rPh sb="17" eb="19">
      <t>ゴゼン</t>
    </rPh>
    <rPh sb="21" eb="23">
      <t>シケン</t>
    </rPh>
    <phoneticPr fontId="19"/>
  </si>
  <si>
    <r>
      <t xml:space="preserve">前期末試験⑥
</t>
    </r>
    <r>
      <rPr>
        <b/>
        <sz val="18"/>
        <rFont val="ＭＳ Ｐゴシック"/>
        <family val="3"/>
        <charset val="128"/>
        <scheme val="minor"/>
      </rPr>
      <t>●</t>
    </r>
    <r>
      <rPr>
        <b/>
        <sz val="18"/>
        <color rgb="FF0070C0"/>
        <rFont val="ＭＳ Ｐゴシック"/>
        <family val="3"/>
        <charset val="128"/>
        <scheme val="minor"/>
      </rPr>
      <t xml:space="preserve">
</t>
    </r>
    <r>
      <rPr>
        <b/>
        <sz val="18"/>
        <color rgb="FFFF0000"/>
        <rFont val="ＭＳ Ｐゴシック"/>
        <family val="3"/>
        <charset val="128"/>
        <scheme val="minor"/>
      </rPr>
      <t>工学研究の最先端（集中講義）【予定】</t>
    </r>
    <rPh sb="24" eb="26">
      <t>ヨテイ</t>
    </rPh>
    <phoneticPr fontId="19"/>
  </si>
  <si>
    <t>【午後】入学式（1年）△
【午前】始業式（2-5年）△
※教科書販売</t>
  </si>
  <si>
    <t>振替休日</t>
    <rPh sb="0" eb="2">
      <t>フリカエ</t>
    </rPh>
    <phoneticPr fontId="19"/>
  </si>
  <si>
    <r>
      <t xml:space="preserve">前期末試験予備日
補講日
</t>
    </r>
    <r>
      <rPr>
        <b/>
        <sz val="18"/>
        <color rgb="FFFF0000"/>
        <rFont val="ＭＳ Ｐゴシック"/>
        <family val="3"/>
        <charset val="128"/>
        <scheme val="minor"/>
      </rPr>
      <t>工学研究の最先端（集中講義）【予定】</t>
    </r>
    <rPh sb="0" eb="2">
      <t>ゼンキ</t>
    </rPh>
    <rPh sb="2" eb="3">
      <t>マツ</t>
    </rPh>
    <rPh sb="3" eb="5">
      <t>シケン</t>
    </rPh>
    <rPh sb="5" eb="8">
      <t>ヨビビ</t>
    </rPh>
    <rPh sb="9" eb="12">
      <t>ホコウビ</t>
    </rPh>
    <phoneticPr fontId="19"/>
  </si>
  <si>
    <t>日本高専学会第32回年会講演会(宇部高専)</t>
  </si>
  <si>
    <r>
      <rPr>
        <b/>
        <sz val="18"/>
        <rFont val="ＭＳ Ｐゴシック"/>
        <family val="3"/>
        <charset val="128"/>
        <scheme val="minor"/>
      </rPr>
      <t>各種身体検査</t>
    </r>
    <r>
      <rPr>
        <sz val="18"/>
        <rFont val="ＭＳ Ｐゴシック"/>
        <family val="3"/>
        <charset val="128"/>
        <scheme val="minor"/>
      </rPr>
      <t xml:space="preserve">
（尿検査1次1日目・心電図検査（1年、4年次編入、要管理者のみ）
</t>
    </r>
    <r>
      <rPr>
        <b/>
        <sz val="18"/>
        <rFont val="ＭＳ Ｐゴシック"/>
        <family val="3"/>
        <charset val="128"/>
        <scheme val="minor"/>
      </rPr>
      <t>ガイダンス(1～3年)</t>
    </r>
    <phoneticPr fontId="19"/>
  </si>
  <si>
    <t>進学説明会（4年希望者）</t>
    <rPh sb="0" eb="2">
      <t>シンガク</t>
    </rPh>
    <rPh sb="2" eb="5">
      <t>セツメイカイ</t>
    </rPh>
    <rPh sb="7" eb="8">
      <t>ネン</t>
    </rPh>
    <rPh sb="8" eb="11">
      <t>キボウシャ</t>
    </rPh>
    <phoneticPr fontId="19"/>
  </si>
  <si>
    <r>
      <rPr>
        <b/>
        <sz val="18"/>
        <color rgb="FF0070C0"/>
        <rFont val="ＭＳ Ｐゴシック"/>
        <family val="3"/>
        <charset val="128"/>
        <scheme val="minor"/>
      </rPr>
      <t>補講日</t>
    </r>
    <r>
      <rPr>
        <b/>
        <sz val="18"/>
        <color rgb="FFFF0000"/>
        <rFont val="ＭＳ Ｐゴシック"/>
        <family val="3"/>
        <charset val="128"/>
        <scheme val="minor"/>
      </rPr>
      <t xml:space="preserve">
工学研究の最先端（集中講義）【予定】</t>
    </r>
    <rPh sb="0" eb="3">
      <t>ホコウビ</t>
    </rPh>
    <phoneticPr fontId="19"/>
  </si>
  <si>
    <t>4年次編入学試験
※学生登校禁止</t>
    <phoneticPr fontId="19"/>
  </si>
  <si>
    <r>
      <rPr>
        <b/>
        <sz val="18"/>
        <color rgb="FF000000"/>
        <rFont val="ＭＳ Ｐゴシック"/>
        <family val="3"/>
        <charset val="128"/>
      </rPr>
      <t>貸与PCガイダンス（1年）</t>
    </r>
    <r>
      <rPr>
        <sz val="18"/>
        <color rgb="FF000000"/>
        <rFont val="ＭＳ Ｐゴシック"/>
        <family val="3"/>
        <charset val="128"/>
      </rPr>
      <t xml:space="preserve">
</t>
    </r>
    <r>
      <rPr>
        <b/>
        <sz val="18"/>
        <color rgb="FF000000"/>
        <rFont val="ＭＳ Ｐゴシック"/>
        <family val="3"/>
        <charset val="128"/>
      </rPr>
      <t>1～3年HR</t>
    </r>
    <r>
      <rPr>
        <sz val="18"/>
        <color rgb="FF000000"/>
        <rFont val="ＭＳ Ｐゴシック"/>
        <family val="3"/>
        <charset val="128"/>
      </rPr>
      <t xml:space="preserve">
</t>
    </r>
    <r>
      <rPr>
        <b/>
        <sz val="18"/>
        <color rgb="FF000000"/>
        <rFont val="ＭＳ Ｐゴシック"/>
        <family val="3"/>
        <charset val="128"/>
      </rPr>
      <t>ガイダンス(4・5年)</t>
    </r>
    <r>
      <rPr>
        <sz val="18"/>
        <color rgb="FF000000"/>
        <rFont val="ＭＳ Ｐゴシック"/>
        <family val="3"/>
        <charset val="128"/>
      </rPr>
      <t xml:space="preserve">
</t>
    </r>
    <r>
      <rPr>
        <b/>
        <sz val="18"/>
        <color rgb="FF0070C0"/>
        <rFont val="ＭＳ Ｐゴシック"/>
        <family val="3"/>
        <charset val="128"/>
      </rPr>
      <t>補講日</t>
    </r>
    <phoneticPr fontId="19"/>
  </si>
  <si>
    <t>前期中間試験②</t>
    <phoneticPr fontId="19"/>
  </si>
  <si>
    <t>人権教育講演会（3年）</t>
  </si>
  <si>
    <t>体験入学１日目</t>
    <phoneticPr fontId="19"/>
  </si>
  <si>
    <t>前期授業開始
内科・歯科検診（1年）</t>
  </si>
  <si>
    <t>執行会議
教職員特殊歯科検診</t>
  </si>
  <si>
    <t>前期中間試験③</t>
    <phoneticPr fontId="19"/>
  </si>
  <si>
    <t>執行会議</t>
    <rPh sb="0" eb="4">
      <t>シッコウカイギ</t>
    </rPh>
    <phoneticPr fontId="19"/>
  </si>
  <si>
    <r>
      <rPr>
        <b/>
        <sz val="20"/>
        <color theme="9" tint="-0.499984740745262"/>
        <rFont val="ＭＳ Ｐゴシック"/>
        <family val="3"/>
        <charset val="128"/>
      </rPr>
      <t>体験入学２日目</t>
    </r>
    <r>
      <rPr>
        <sz val="18"/>
        <rFont val="ＭＳ Ｐゴシック"/>
        <family val="3"/>
        <charset val="128"/>
      </rPr>
      <t xml:space="preserve">
夏季休業開始</t>
    </r>
    <phoneticPr fontId="19"/>
  </si>
  <si>
    <t>前期中間試験④</t>
    <phoneticPr fontId="19"/>
  </si>
  <si>
    <r>
      <rPr>
        <b/>
        <sz val="20"/>
        <color theme="9" tint="-0.499984740745262"/>
        <rFont val="ＭＳ Ｐゴシック"/>
        <family val="3"/>
        <charset val="128"/>
      </rPr>
      <t>体験入学３日目</t>
    </r>
    <r>
      <rPr>
        <sz val="18"/>
        <rFont val="ＭＳ Ｐゴシック"/>
        <family val="3"/>
        <charset val="128"/>
      </rPr>
      <t xml:space="preserve">
インターンシップ開始
企業見学会開始（2年）</t>
    </r>
    <rPh sb="16" eb="18">
      <t>カイシ</t>
    </rPh>
    <rPh sb="24" eb="26">
      <t>カイシ</t>
    </rPh>
    <phoneticPr fontId="19"/>
  </si>
  <si>
    <t>前期中間試験⑤
午後水曜授業(1～3年)</t>
    <phoneticPr fontId="19"/>
  </si>
  <si>
    <t>山の日</t>
  </si>
  <si>
    <r>
      <t xml:space="preserve">4年次編入学試験（予備日）
</t>
    </r>
    <r>
      <rPr>
        <sz val="18"/>
        <color rgb="FF000000"/>
        <rFont val="ＭＳ Ｐゴシック"/>
        <family val="2"/>
        <scheme val="minor"/>
      </rPr>
      <t>インターンシップ終了
企業見学会終了（2年）</t>
    </r>
    <phoneticPr fontId="19"/>
  </si>
  <si>
    <t>尿検査2次</t>
  </si>
  <si>
    <t>KOSEN FES 2026　大阪会場（梅田サウスタワー）</t>
  </si>
  <si>
    <t>●
人権教育講演会（2年）</t>
  </si>
  <si>
    <t>夏季休業終了</t>
    <phoneticPr fontId="19"/>
  </si>
  <si>
    <r>
      <rPr>
        <sz val="18"/>
        <color rgb="FFFF0000"/>
        <rFont val="ＭＳ Ｐゴシック"/>
        <family val="3"/>
        <charset val="128"/>
      </rPr>
      <t>全学休業日（</t>
    </r>
    <r>
      <rPr>
        <sz val="18"/>
        <color rgb="FFFF0000"/>
        <rFont val="Arial"/>
        <family val="2"/>
      </rPr>
      <t>8/15</t>
    </r>
    <r>
      <rPr>
        <sz val="18"/>
        <color rgb="FFFF0000"/>
        <rFont val="ＭＳ Ｐゴシック"/>
        <family val="3"/>
        <charset val="128"/>
      </rPr>
      <t>固定、</t>
    </r>
    <r>
      <rPr>
        <sz val="18"/>
        <color rgb="FFFF0000"/>
        <rFont val="Arial"/>
        <family val="2"/>
      </rPr>
      <t>8/15</t>
    </r>
    <r>
      <rPr>
        <sz val="18"/>
        <color rgb="FFFF0000"/>
        <rFont val="ＭＳ Ｐゴシック"/>
        <family val="3"/>
        <charset val="128"/>
      </rPr>
      <t>が土→</t>
    </r>
    <r>
      <rPr>
        <sz val="18"/>
        <color rgb="FFFF0000"/>
        <rFont val="Arial"/>
        <family val="2"/>
      </rPr>
      <t>8/14,</t>
    </r>
    <r>
      <rPr>
        <sz val="18"/>
        <color rgb="FFFF0000"/>
        <rFont val="ＭＳ Ｐゴシック"/>
        <family val="3"/>
        <charset val="128"/>
      </rPr>
      <t>日→</t>
    </r>
    <r>
      <rPr>
        <sz val="18"/>
        <color rgb="FFFF0000"/>
        <rFont val="Arial"/>
        <family val="2"/>
      </rPr>
      <t>8/16</t>
    </r>
    <r>
      <rPr>
        <sz val="18"/>
        <color rgb="FFFF0000"/>
        <rFont val="ＭＳ Ｐゴシック"/>
        <family val="3"/>
        <charset val="128"/>
      </rPr>
      <t>）</t>
    </r>
  </si>
  <si>
    <t>授業日（試験返却）</t>
    <rPh sb="0" eb="2">
      <t>ジュギョウ</t>
    </rPh>
    <rPh sb="2" eb="3">
      <t>ビ</t>
    </rPh>
    <phoneticPr fontId="19"/>
  </si>
  <si>
    <t>補講週間</t>
    <phoneticPr fontId="19"/>
  </si>
  <si>
    <t>着こなし方講座・海外インターンシップ説明会(4年)</t>
    <phoneticPr fontId="19"/>
  </si>
  <si>
    <r>
      <t xml:space="preserve">○
</t>
    </r>
    <r>
      <rPr>
        <sz val="18"/>
        <rFont val="ＭＳ Ｐゴシック"/>
        <family val="3"/>
        <charset val="128"/>
        <scheme val="minor"/>
      </rPr>
      <t>インターンシップ事前教育（4年）</t>
    </r>
    <rPh sb="10" eb="12">
      <t>ジゼン</t>
    </rPh>
    <rPh sb="12" eb="14">
      <t>キョウイク</t>
    </rPh>
    <rPh sb="16" eb="17">
      <t>ネン</t>
    </rPh>
    <phoneticPr fontId="19"/>
  </si>
  <si>
    <t>内科・歯科検診（3・5年）</t>
  </si>
  <si>
    <r>
      <t xml:space="preserve">補講週間
</t>
    </r>
    <r>
      <rPr>
        <sz val="18"/>
        <rFont val="ＭＳ Ｐゴシック"/>
        <family val="3"/>
        <charset val="128"/>
        <scheme val="minor"/>
      </rPr>
      <t>4年次編入学者選抜判定会議</t>
    </r>
    <phoneticPr fontId="19"/>
  </si>
  <si>
    <t>文化行事（1～3年,午後）</t>
    <rPh sb="0" eb="2">
      <t>ブンカ</t>
    </rPh>
    <rPh sb="2" eb="4">
      <t>ギョウジ</t>
    </rPh>
    <rPh sb="8" eb="9">
      <t>ネン</t>
    </rPh>
    <rPh sb="10" eb="12">
      <t>ゴゴ</t>
    </rPh>
    <phoneticPr fontId="19"/>
  </si>
  <si>
    <t>TP/APワークショップ【予定】</t>
  </si>
  <si>
    <r>
      <t xml:space="preserve">授業日（試験返却）
</t>
    </r>
    <r>
      <rPr>
        <b/>
        <sz val="18"/>
        <rFont val="ＭＳ Ｐゴシック"/>
        <family val="3"/>
        <charset val="128"/>
        <scheme val="minor"/>
      </rPr>
      <t>4年次編入学合格者発表・合格者説明会</t>
    </r>
    <rPh sb="0" eb="2">
      <t>ジュギョウ</t>
    </rPh>
    <rPh sb="2" eb="3">
      <t>ビ</t>
    </rPh>
    <rPh sb="11" eb="13">
      <t>ネンジ</t>
    </rPh>
    <rPh sb="13" eb="16">
      <t>ヘンニュウガク</t>
    </rPh>
    <rPh sb="16" eb="19">
      <t>ゴウカクシャ</t>
    </rPh>
    <rPh sb="19" eb="21">
      <t>ハッピョウ</t>
    </rPh>
    <rPh sb="22" eb="25">
      <t>ゴウカクシャ</t>
    </rPh>
    <rPh sb="25" eb="28">
      <t>セツメイカイ</t>
    </rPh>
    <phoneticPr fontId="19"/>
  </si>
  <si>
    <t xml:space="preserve">成績確認票提出締切
</t>
    <phoneticPr fontId="19"/>
  </si>
  <si>
    <t>★土曜授業日＜補講日＞</t>
    <phoneticPr fontId="19"/>
  </si>
  <si>
    <t>○
企業見学会説明会（2年）</t>
    <rPh sb="2" eb="4">
      <t>キギョウ</t>
    </rPh>
    <rPh sb="4" eb="7">
      <t>ケンガクカイ</t>
    </rPh>
    <rPh sb="7" eb="10">
      <t>セツメイカイ</t>
    </rPh>
    <rPh sb="12" eb="13">
      <t>ネン</t>
    </rPh>
    <phoneticPr fontId="19"/>
  </si>
  <si>
    <t>海の日</t>
  </si>
  <si>
    <t>尿検査1次2回目</t>
  </si>
  <si>
    <t>高専オリンピック△</t>
    <phoneticPr fontId="19"/>
  </si>
  <si>
    <t>教務学生協議会候補日</t>
    <phoneticPr fontId="19"/>
  </si>
  <si>
    <t>敬老の日</t>
  </si>
  <si>
    <t>○</t>
    <phoneticPr fontId="19"/>
  </si>
  <si>
    <t>企業見学会事前説明会（2年）</t>
    <rPh sb="0" eb="2">
      <t>キギョウ</t>
    </rPh>
    <rPh sb="2" eb="5">
      <t>ケンガクカイ</t>
    </rPh>
    <rPh sb="5" eb="7">
      <t>ジゼン</t>
    </rPh>
    <rPh sb="7" eb="10">
      <t>セツメイカイ</t>
    </rPh>
    <rPh sb="12" eb="13">
      <t>ネン</t>
    </rPh>
    <phoneticPr fontId="19"/>
  </si>
  <si>
    <t>国民の休日</t>
    <rPh sb="0" eb="2">
      <t>コクミン</t>
    </rPh>
    <rPh sb="3" eb="5">
      <t>キュウジツ</t>
    </rPh>
    <phoneticPr fontId="19"/>
  </si>
  <si>
    <t>宿泊オリエンテーション(1年)</t>
  </si>
  <si>
    <t>公立高専協会理事会（第1回）</t>
    <phoneticPr fontId="19"/>
  </si>
  <si>
    <r>
      <rPr>
        <sz val="18"/>
        <color rgb="FF0070C0"/>
        <rFont val="ＭＳ Ｐゴシック"/>
        <family val="3"/>
        <charset val="128"/>
        <scheme val="minor"/>
      </rPr>
      <t>補講週間</t>
    </r>
    <r>
      <rPr>
        <sz val="18"/>
        <rFont val="ＭＳ Ｐゴシック"/>
        <family val="3"/>
        <charset val="128"/>
        <scheme val="minor"/>
      </rPr>
      <t xml:space="preserve">
執行会議</t>
    </r>
    <rPh sb="5" eb="9">
      <t>シッコウカイギ</t>
    </rPh>
    <phoneticPr fontId="19"/>
  </si>
  <si>
    <t>秋分の日</t>
    <phoneticPr fontId="19"/>
  </si>
  <si>
    <r>
      <t xml:space="preserve">宿泊オリエンテーション(1年)
校外学習(2, 3年)
</t>
    </r>
    <r>
      <rPr>
        <sz val="18"/>
        <rFont val="ＭＳ Ｐゴシック"/>
        <family val="3"/>
        <charset val="128"/>
        <scheme val="minor"/>
      </rPr>
      <t>インターンシップガイダンス（4年編入生・欠席者対象）</t>
    </r>
    <rPh sb="43" eb="44">
      <t>ネン</t>
    </rPh>
    <rPh sb="44" eb="47">
      <t>ヘンニュウセイ</t>
    </rPh>
    <rPh sb="48" eb="51">
      <t>ケッセキシャ</t>
    </rPh>
    <rPh sb="51" eb="53">
      <t>タイショウ</t>
    </rPh>
    <phoneticPr fontId="19"/>
  </si>
  <si>
    <t>大掃除
■</t>
    <phoneticPr fontId="19"/>
  </si>
  <si>
    <t>補講日</t>
    <rPh sb="0" eb="3">
      <t>ホコウビ</t>
    </rPh>
    <phoneticPr fontId="19"/>
  </si>
  <si>
    <r>
      <t xml:space="preserve">後期授業開始
</t>
    </r>
    <r>
      <rPr>
        <b/>
        <sz val="18"/>
        <color rgb="FF0070C0"/>
        <rFont val="ＭＳ Ｐゴシック"/>
        <family val="3"/>
        <charset val="128"/>
      </rPr>
      <t>成績確認票提出締切</t>
    </r>
    <rPh sb="0" eb="2">
      <t>コウキ</t>
    </rPh>
    <rPh sb="2" eb="4">
      <t>ジュギョウ</t>
    </rPh>
    <rPh sb="4" eb="6">
      <t>カイシ</t>
    </rPh>
    <phoneticPr fontId="19"/>
  </si>
  <si>
    <t>教科担当者会議(1年)</t>
    <phoneticPr fontId="19"/>
  </si>
  <si>
    <t>★土曜授業日＜補講日＞（原則オンデマンドのみ）</t>
    <rPh sb="12" eb="14">
      <t>ゲンソク</t>
    </rPh>
    <phoneticPr fontId="19"/>
  </si>
  <si>
    <t>教務学生協議会候補日</t>
  </si>
  <si>
    <t>教科担当者会議(2年)</t>
    <phoneticPr fontId="19"/>
  </si>
  <si>
    <t>防災リテラシー（集中講義）【予定】</t>
    <rPh sb="14" eb="16">
      <t>ヨテイ</t>
    </rPh>
    <phoneticPr fontId="19"/>
  </si>
  <si>
    <t>■</t>
    <phoneticPr fontId="19"/>
  </si>
  <si>
    <t>1年コース配属説明会（保護者対象）</t>
    <rPh sb="1" eb="2">
      <t>ネン</t>
    </rPh>
    <rPh sb="5" eb="7">
      <t>ハイゾク</t>
    </rPh>
    <rPh sb="7" eb="9">
      <t>セツメイ</t>
    </rPh>
    <rPh sb="9" eb="10">
      <t>カイ</t>
    </rPh>
    <rPh sb="11" eb="14">
      <t>ホゴシャ</t>
    </rPh>
    <rPh sb="14" eb="16">
      <t>タイショウ</t>
    </rPh>
    <phoneticPr fontId="19"/>
  </si>
  <si>
    <t>4年次編入学説明会</t>
    <phoneticPr fontId="19"/>
  </si>
  <si>
    <t>補講日（講義優先）</t>
    <rPh sb="0" eb="3">
      <t>ホコウビ</t>
    </rPh>
    <rPh sb="4" eb="6">
      <t>コウギ</t>
    </rPh>
    <rPh sb="6" eb="8">
      <t>ユウセン</t>
    </rPh>
    <phoneticPr fontId="19"/>
  </si>
  <si>
    <r>
      <rPr>
        <sz val="18"/>
        <color rgb="FF000000"/>
        <rFont val="ＭＳ Ｐゴシック"/>
        <family val="2"/>
        <charset val="128"/>
      </rPr>
      <t>水</t>
    </r>
    <r>
      <rPr>
        <sz val="18"/>
        <color rgb="FF000000"/>
        <rFont val="Arial"/>
        <family val="2"/>
      </rPr>
      <t>3</t>
    </r>
    <rPh sb="0" eb="1">
      <t>スイ</t>
    </rPh>
    <phoneticPr fontId="19"/>
  </si>
  <si>
    <r>
      <t xml:space="preserve">昭和の日
</t>
    </r>
    <r>
      <rPr>
        <b/>
        <sz val="24"/>
        <color rgb="FFFF0000"/>
        <rFont val="ＭＳ Ｐゴシック"/>
        <family val="3"/>
        <charset val="128"/>
        <scheme val="minor"/>
      </rPr>
      <t>水曜授業日</t>
    </r>
    <rPh sb="5" eb="7">
      <t>スイヨウ</t>
    </rPh>
    <rPh sb="7" eb="9">
      <t>ジュギョウ</t>
    </rPh>
    <rPh sb="9" eb="10">
      <t>ビ</t>
    </rPh>
    <phoneticPr fontId="19"/>
  </si>
  <si>
    <t xml:space="preserve">補講日
※1～3年金曜授業(宿泊オリテ・校外学習振替)
</t>
    <rPh sb="9" eb="10">
      <t>キン</t>
    </rPh>
    <rPh sb="20" eb="22">
      <t>コウガイ</t>
    </rPh>
    <rPh sb="22" eb="24">
      <t>ガクシュウ</t>
    </rPh>
    <phoneticPr fontId="19"/>
  </si>
  <si>
    <t>公開授業開始
教科担当者会議(3年)</t>
    <phoneticPr fontId="19"/>
  </si>
  <si>
    <r>
      <t xml:space="preserve">前期末試験①
</t>
    </r>
    <r>
      <rPr>
        <b/>
        <sz val="18"/>
        <rFont val="ＭＳ Ｐゴシック"/>
        <family val="3"/>
        <charset val="128"/>
        <scheme val="minor"/>
      </rPr>
      <t>■</t>
    </r>
    <phoneticPr fontId="19"/>
  </si>
  <si>
    <t>防災リテラシー（防災マップ作成）【予定】</t>
    <rPh sb="17" eb="19">
      <t>ヨテイ</t>
    </rPh>
    <phoneticPr fontId="19"/>
  </si>
  <si>
    <t>内科・歯科検診（2・4年）</t>
  </si>
  <si>
    <t>前期末試験②</t>
    <phoneticPr fontId="19"/>
  </si>
  <si>
    <t>前期末試験③</t>
    <phoneticPr fontId="19"/>
  </si>
  <si>
    <t>日本高専学会第32回年会講演会予定（宇部）</t>
  </si>
  <si>
    <r>
      <rPr>
        <sz val="48"/>
        <color rgb="FF000000"/>
        <rFont val="ＭＳ ゴシック"/>
        <family val="3"/>
        <charset val="128"/>
      </rPr>
      <t>年度</t>
    </r>
    <r>
      <rPr>
        <sz val="48"/>
        <color rgb="FF000000"/>
        <rFont val="Arial"/>
        <family val="2"/>
      </rPr>
      <t xml:space="preserve"> </t>
    </r>
    <r>
      <rPr>
        <sz val="48"/>
        <color rgb="FF000000"/>
        <rFont val="ＭＳ ゴシック"/>
        <family val="3"/>
        <charset val="128"/>
      </rPr>
      <t>行事予定表（後期）</t>
    </r>
    <rPh sb="9" eb="11">
      <t>コウキ</t>
    </rPh>
    <phoneticPr fontId="19"/>
  </si>
  <si>
    <t>年末年始休暇</t>
  </si>
  <si>
    <t>学年末試験⑤</t>
    <phoneticPr fontId="19"/>
  </si>
  <si>
    <t>中学校向け入試説明会(I-site)</t>
    <phoneticPr fontId="19"/>
  </si>
  <si>
    <t>●
人権教育講演会（3年）</t>
  </si>
  <si>
    <t>学年末試験⑥</t>
    <phoneticPr fontId="19"/>
  </si>
  <si>
    <t>1年安全体感学習（予定）</t>
  </si>
  <si>
    <t xml:space="preserve">
</t>
    <phoneticPr fontId="19"/>
  </si>
  <si>
    <t>文化の日</t>
    <phoneticPr fontId="19"/>
  </si>
  <si>
    <r>
      <t xml:space="preserve">年末年始休暇
</t>
    </r>
    <r>
      <rPr>
        <sz val="18"/>
        <rFont val="ＭＳ Ｐゴシック"/>
        <family val="3"/>
        <charset val="128"/>
        <scheme val="minor"/>
      </rPr>
      <t>冬季休業終了</t>
    </r>
    <rPh sb="0" eb="2">
      <t>ネンマツ</t>
    </rPh>
    <rPh sb="2" eb="4">
      <t>ネンシ</t>
    </rPh>
    <rPh sb="4" eb="6">
      <t>キュウカ</t>
    </rPh>
    <phoneticPr fontId="19"/>
  </si>
  <si>
    <t>授業日（試験返却）
●
人権教育講演会（2年）</t>
  </si>
  <si>
    <t>1年安全体感学習（予定）</t>
    <rPh sb="1" eb="2">
      <t>ネン</t>
    </rPh>
    <rPh sb="2" eb="4">
      <t>アンゼン</t>
    </rPh>
    <rPh sb="4" eb="6">
      <t>タイカン</t>
    </rPh>
    <rPh sb="6" eb="8">
      <t>ガクシュウ</t>
    </rPh>
    <rPh sb="9" eb="11">
      <t>ヨテイ</t>
    </rPh>
    <phoneticPr fontId="19"/>
  </si>
  <si>
    <t>成績確認票提出締切予定</t>
    <phoneticPr fontId="19"/>
  </si>
  <si>
    <t>授業再開</t>
    <rPh sb="0" eb="2">
      <t>ジュギョウ</t>
    </rPh>
    <rPh sb="2" eb="4">
      <t>サイカイ</t>
    </rPh>
    <phoneticPr fontId="19"/>
  </si>
  <si>
    <t>授業日（試験返却）</t>
    <phoneticPr fontId="19"/>
  </si>
  <si>
    <r>
      <rPr>
        <sz val="18"/>
        <color rgb="FF0070C0"/>
        <rFont val="ＭＳ Ｐゴシック"/>
        <family val="3"/>
        <charset val="128"/>
        <scheme val="minor"/>
      </rPr>
      <t>補講週間</t>
    </r>
    <r>
      <rPr>
        <sz val="18"/>
        <rFont val="ＭＳ Ｐゴシック"/>
        <family val="3"/>
        <charset val="128"/>
        <scheme val="minor"/>
      </rPr>
      <t xml:space="preserve">
執行会議</t>
    </r>
    <rPh sb="0" eb="2">
      <t>ホコウ</t>
    </rPh>
    <rPh sb="2" eb="4">
      <t>シュウカン</t>
    </rPh>
    <rPh sb="5" eb="7">
      <t>シッコウ</t>
    </rPh>
    <rPh sb="7" eb="9">
      <t>カイギ</t>
    </rPh>
    <phoneticPr fontId="19"/>
  </si>
  <si>
    <r>
      <rPr>
        <sz val="16"/>
        <color rgb="FF000000"/>
        <rFont val="ＭＳ Ｐゴシック"/>
        <family val="2"/>
        <charset val="128"/>
      </rPr>
      <t>火</t>
    </r>
    <r>
      <rPr>
        <sz val="16"/>
        <color rgb="FF000000"/>
        <rFont val="Arial"/>
        <family val="2"/>
      </rPr>
      <t>6</t>
    </r>
    <rPh sb="0" eb="1">
      <t>ヒ</t>
    </rPh>
    <phoneticPr fontId="19"/>
  </si>
  <si>
    <r>
      <rPr>
        <b/>
        <sz val="18"/>
        <color rgb="FFFF0000"/>
        <rFont val="ＭＳ Ｐゴシック"/>
        <family val="3"/>
        <charset val="128"/>
        <scheme val="minor"/>
      </rPr>
      <t>【午前】火曜授業</t>
    </r>
    <r>
      <rPr>
        <sz val="18"/>
        <rFont val="ＭＳ Ｐゴシック"/>
        <family val="3"/>
        <charset val="128"/>
        <scheme val="minor"/>
      </rPr>
      <t xml:space="preserve">
【午後】高専祭準備</t>
    </r>
    <rPh sb="4" eb="6">
      <t>カヨウ</t>
    </rPh>
    <phoneticPr fontId="19"/>
  </si>
  <si>
    <t>インターンシップガイダンス（3年）仮</t>
    <rPh sb="15" eb="16">
      <t>ネン</t>
    </rPh>
    <rPh sb="17" eb="18">
      <t>カリ</t>
    </rPh>
    <phoneticPr fontId="19"/>
  </si>
  <si>
    <t>※成績表配布（予定）</t>
  </si>
  <si>
    <t>高専祭準備</t>
  </si>
  <si>
    <t>●
企業勉強会(4年)仮</t>
  </si>
  <si>
    <t>高専祭</t>
  </si>
  <si>
    <t>高専祭</t>
    <rPh sb="0" eb="3">
      <t>コウセンサイ</t>
    </rPh>
    <phoneticPr fontId="19"/>
  </si>
  <si>
    <r>
      <t xml:space="preserve">【午前】高専祭後片付け
</t>
    </r>
    <r>
      <rPr>
        <b/>
        <sz val="18"/>
        <color rgb="FFFF0000"/>
        <rFont val="ＭＳ Ｐゴシック"/>
        <family val="3"/>
        <charset val="128"/>
        <scheme val="minor"/>
      </rPr>
      <t>【午後】火曜授業</t>
    </r>
    <rPh sb="16" eb="18">
      <t>カヨウ</t>
    </rPh>
    <phoneticPr fontId="19"/>
  </si>
  <si>
    <t>合格者登校日？</t>
    <rPh sb="0" eb="3">
      <t>ゴウカクシャ</t>
    </rPh>
    <rPh sb="3" eb="6">
      <t>トウコウビ</t>
    </rPh>
    <phoneticPr fontId="19"/>
  </si>
  <si>
    <t>高専プロコン</t>
  </si>
  <si>
    <t>△高専祭代休</t>
  </si>
  <si>
    <t>補講日（実験実習優先）</t>
    <rPh sb="0" eb="3">
      <t>ホコウビ</t>
    </rPh>
    <rPh sb="4" eb="6">
      <t>ジッケン</t>
    </rPh>
    <rPh sb="6" eb="8">
      <t>ジッシュウ</t>
    </rPh>
    <rPh sb="8" eb="10">
      <t>ユウセン</t>
    </rPh>
    <phoneticPr fontId="19"/>
  </si>
  <si>
    <t>高専ロボコン2026近畿地区大会（奈良）
高専プロコン</t>
    <phoneticPr fontId="19"/>
  </si>
  <si>
    <t>△高専祭代休</t>
    <phoneticPr fontId="19"/>
  </si>
  <si>
    <t>成績表配布(予定)</t>
  </si>
  <si>
    <t>成人の日</t>
  </si>
  <si>
    <t>建国記念の日</t>
  </si>
  <si>
    <t>終業式△
編入生登校日</t>
    <rPh sb="5" eb="7">
      <t>ヘンニュウ</t>
    </rPh>
    <rPh sb="7" eb="8">
      <t>セイ</t>
    </rPh>
    <rPh sb="8" eb="11">
      <t>トウコウビ</t>
    </rPh>
    <phoneticPr fontId="19"/>
  </si>
  <si>
    <r>
      <t xml:space="preserve">（スポーツの日）
</t>
    </r>
    <r>
      <rPr>
        <b/>
        <sz val="24"/>
        <color rgb="FFFF0000"/>
        <rFont val="ＭＳ Ｐゴシック"/>
        <family val="3"/>
        <charset val="128"/>
        <scheme val="minor"/>
      </rPr>
      <t>月曜授業日</t>
    </r>
    <rPh sb="9" eb="11">
      <t>ゲツヨウ</t>
    </rPh>
    <rPh sb="11" eb="13">
      <t>ジュギョウ</t>
    </rPh>
    <rPh sb="13" eb="14">
      <t>ビ</t>
    </rPh>
    <phoneticPr fontId="19"/>
  </si>
  <si>
    <t>第２回進路対策部会</t>
  </si>
  <si>
    <r>
      <rPr>
        <b/>
        <sz val="18"/>
        <color rgb="FF0070C0"/>
        <rFont val="ＭＳ Ｐゴシック"/>
        <family val="3"/>
        <charset val="128"/>
        <scheme val="minor"/>
      </rPr>
      <t>補講日（午前）</t>
    </r>
    <r>
      <rPr>
        <sz val="18"/>
        <rFont val="ＭＳ Ｐゴシック"/>
        <family val="3"/>
        <charset val="128"/>
        <scheme val="minor"/>
      </rPr>
      <t xml:space="preserve">
</t>
    </r>
    <r>
      <rPr>
        <b/>
        <sz val="18"/>
        <rFont val="ＭＳ Ｐゴシック"/>
        <family val="3"/>
        <charset val="128"/>
        <scheme val="minor"/>
      </rPr>
      <t>入試準備日（午後）</t>
    </r>
    <r>
      <rPr>
        <sz val="18"/>
        <rFont val="ＭＳ Ｐゴシック"/>
        <family val="3"/>
        <charset val="128"/>
        <scheme val="minor"/>
      </rPr>
      <t xml:space="preserve">
</t>
    </r>
    <r>
      <rPr>
        <sz val="18"/>
        <color rgb="FFFF0000"/>
        <rFont val="ＭＳ Ｐゴシック"/>
        <family val="3"/>
        <charset val="128"/>
        <scheme val="minor"/>
      </rPr>
      <t>※学生登校禁止（13:00～）</t>
    </r>
    <rPh sb="0" eb="3">
      <t>ホコウビ</t>
    </rPh>
    <rPh sb="4" eb="6">
      <t>ゴゼン</t>
    </rPh>
    <rPh sb="8" eb="10">
      <t>ニュウシ</t>
    </rPh>
    <rPh sb="10" eb="13">
      <t>ジュンビビ</t>
    </rPh>
    <rPh sb="14" eb="16">
      <t>ゴゴ</t>
    </rPh>
    <rPh sb="19" eb="21">
      <t>ガクセイ</t>
    </rPh>
    <rPh sb="21" eb="23">
      <t>トウコウ</t>
    </rPh>
    <rPh sb="23" eb="25">
      <t>キンシ</t>
    </rPh>
    <phoneticPr fontId="19"/>
  </si>
  <si>
    <t>卒業式△</t>
  </si>
  <si>
    <t>教科担当者会議(3年)</t>
    <phoneticPr fontId="19"/>
  </si>
  <si>
    <t>学生総会(14:50～)</t>
    <phoneticPr fontId="19"/>
  </si>
  <si>
    <t>※学生登校禁止（終日）</t>
    <rPh sb="8" eb="10">
      <t>シュウジツ</t>
    </rPh>
    <phoneticPr fontId="19"/>
  </si>
  <si>
    <t>在校生に向けた生協加入説明会（仮）</t>
  </si>
  <si>
    <r>
      <rPr>
        <b/>
        <sz val="18"/>
        <color rgb="FF4F81BD"/>
        <rFont val="Segoe UI Symbol"/>
        <family val="3"/>
      </rPr>
      <t>★</t>
    </r>
    <r>
      <rPr>
        <b/>
        <sz val="18"/>
        <color rgb="FF4F81BD"/>
        <rFont val="ＭＳ Ｐゴシック"/>
        <family val="3"/>
        <charset val="128"/>
        <scheme val="minor"/>
      </rPr>
      <t xml:space="preserve">土曜授業日＜補講日＞（原則オンデマンドのみ）
</t>
    </r>
    <r>
      <rPr>
        <sz val="18"/>
        <color rgb="FF000000"/>
        <rFont val="ＭＳ Ｐゴシック"/>
        <family val="3"/>
        <charset val="128"/>
        <scheme val="minor"/>
      </rPr>
      <t>近畿地区高専プレコン</t>
    </r>
    <phoneticPr fontId="19"/>
  </si>
  <si>
    <t>企業研究セミナー【予定】</t>
    <rPh sb="9" eb="11">
      <t>ヨテイ</t>
    </rPh>
    <phoneticPr fontId="19"/>
  </si>
  <si>
    <r>
      <rPr>
        <b/>
        <sz val="18"/>
        <color rgb="FF000000"/>
        <rFont val="ＭＳ Ｐゴシック"/>
        <family val="2"/>
        <scheme val="minor"/>
      </rPr>
      <t xml:space="preserve">本科入学試験（学力選抜）
</t>
    </r>
    <r>
      <rPr>
        <sz val="18"/>
        <color rgb="FFFF0000"/>
        <rFont val="ＭＳ Ｐゴシック"/>
        <family val="3"/>
        <charset val="128"/>
        <scheme val="minor"/>
      </rPr>
      <t>※学生登校禁止（終日）</t>
    </r>
    <rPh sb="21" eb="23">
      <t>シュウジツ</t>
    </rPh>
    <phoneticPr fontId="19"/>
  </si>
  <si>
    <r>
      <rPr>
        <sz val="18"/>
        <color rgb="FF000000"/>
        <rFont val="ＭＳ Ｐゴシック"/>
        <family val="3"/>
        <charset val="128"/>
        <scheme val="minor"/>
      </rPr>
      <t>高専ロボコン2026全国大会</t>
    </r>
    <r>
      <rPr>
        <i/>
        <sz val="18"/>
        <color rgb="FF000000"/>
        <rFont val="ＭＳ Ｐゴシック"/>
        <family val="2"/>
        <scheme val="minor"/>
      </rPr>
      <t xml:space="preserve">
</t>
    </r>
    <r>
      <rPr>
        <sz val="18"/>
        <color rgb="FF000000"/>
        <rFont val="ＭＳ Ｐゴシック"/>
        <family val="2"/>
        <scheme val="minor"/>
      </rPr>
      <t>近畿地区高専プレコン</t>
    </r>
    <r>
      <rPr>
        <sz val="18"/>
        <color rgb="FF000000"/>
        <rFont val="ＭＳ Ｐゴシック"/>
        <family val="3"/>
        <charset val="128"/>
        <scheme val="minor"/>
      </rPr>
      <t>(本校主管・寝屋川C開催)</t>
    </r>
    <rPh sb="26" eb="28">
      <t>ホンコウ</t>
    </rPh>
    <rPh sb="28" eb="30">
      <t>シュカン</t>
    </rPh>
    <rPh sb="31" eb="34">
      <t>ネヤガワ</t>
    </rPh>
    <rPh sb="35" eb="37">
      <t>カイサイ</t>
    </rPh>
    <phoneticPr fontId="19"/>
  </si>
  <si>
    <r>
      <rPr>
        <b/>
        <sz val="18"/>
        <color rgb="FF0070C0"/>
        <rFont val="ＭＳ Ｐゴシック"/>
        <family val="3"/>
        <charset val="128"/>
        <scheme val="minor"/>
      </rPr>
      <t xml:space="preserve">補講日(午前)
</t>
    </r>
    <r>
      <rPr>
        <b/>
        <sz val="18"/>
        <rFont val="ＭＳ Ｐゴシック"/>
        <family val="3"/>
        <charset val="128"/>
        <scheme val="minor"/>
      </rPr>
      <t>入試準備日（午後）</t>
    </r>
    <r>
      <rPr>
        <sz val="18"/>
        <rFont val="ＭＳ Ｐゴシック"/>
        <family val="3"/>
        <charset val="128"/>
        <scheme val="minor"/>
      </rPr>
      <t xml:space="preserve">
</t>
    </r>
    <r>
      <rPr>
        <sz val="18"/>
        <color rgb="FFFF0000"/>
        <rFont val="ＭＳ Ｐゴシック"/>
        <family val="3"/>
        <charset val="128"/>
        <scheme val="minor"/>
      </rPr>
      <t>※学生登校禁止（13:00～）</t>
    </r>
    <rPh sb="0" eb="3">
      <t>ホコウビ</t>
    </rPh>
    <rPh sb="4" eb="6">
      <t>ゴゼン</t>
    </rPh>
    <rPh sb="8" eb="10">
      <t>ニュウシ</t>
    </rPh>
    <rPh sb="10" eb="12">
      <t>ジュンビ</t>
    </rPh>
    <rPh sb="12" eb="13">
      <t>ヒ</t>
    </rPh>
    <rPh sb="14" eb="16">
      <t>ゴゴ</t>
    </rPh>
    <phoneticPr fontId="19"/>
  </si>
  <si>
    <r>
      <rPr>
        <b/>
        <sz val="18"/>
        <rFont val="ＭＳ Ｐゴシック"/>
        <family val="3"/>
        <charset val="128"/>
        <scheme val="minor"/>
      </rPr>
      <t xml:space="preserve">入試処理日
</t>
    </r>
    <r>
      <rPr>
        <sz val="18"/>
        <color rgb="FFFF0000"/>
        <rFont val="ＭＳ Ｐゴシック"/>
        <family val="3"/>
        <charset val="128"/>
        <scheme val="minor"/>
      </rPr>
      <t>※学生登校禁止（終日）</t>
    </r>
    <rPh sb="14" eb="16">
      <t>シュウジツ</t>
    </rPh>
    <phoneticPr fontId="19"/>
  </si>
  <si>
    <t xml:space="preserve">中学校向け入試説明会(本校)
</t>
  </si>
  <si>
    <t>コースガイダンス（1年）
喫煙防止教室(2年)
○</t>
  </si>
  <si>
    <r>
      <rPr>
        <b/>
        <sz val="18"/>
        <rFont val="ＭＳ Ｐゴシック"/>
        <family val="3"/>
        <charset val="128"/>
        <scheme val="minor"/>
      </rPr>
      <t>本科入学試験（特別選抜）</t>
    </r>
    <r>
      <rPr>
        <sz val="18"/>
        <rFont val="ＭＳ Ｐゴシック"/>
        <family val="3"/>
        <charset val="128"/>
        <scheme val="minor"/>
      </rPr>
      <t xml:space="preserve">
</t>
    </r>
    <r>
      <rPr>
        <sz val="18"/>
        <color rgb="FFFF0000"/>
        <rFont val="ＭＳ Ｐゴシック"/>
        <family val="3"/>
        <charset val="128"/>
        <scheme val="minor"/>
      </rPr>
      <t>※学生登校禁止（終日）</t>
    </r>
    <rPh sb="21" eb="23">
      <t>シュウジツ</t>
    </rPh>
    <phoneticPr fontId="19"/>
  </si>
  <si>
    <t>成績確認票提出締切（全学年）</t>
    <rPh sb="10" eb="13">
      <t>ゼンガクネン</t>
    </rPh>
    <phoneticPr fontId="19"/>
  </si>
  <si>
    <t>学年末休業開始</t>
  </si>
  <si>
    <r>
      <rPr>
        <b/>
        <sz val="18"/>
        <rFont val="ＭＳ Ｐゴシック"/>
        <family val="3"/>
        <charset val="128"/>
        <scheme val="minor"/>
      </rPr>
      <t>本科入試処理日　　　</t>
    </r>
    <r>
      <rPr>
        <sz val="18"/>
        <rFont val="ＭＳ Ｐゴシック"/>
        <family val="3"/>
        <charset val="128"/>
        <scheme val="minor"/>
      </rPr>
      <t xml:space="preserve">　　　　
</t>
    </r>
    <r>
      <rPr>
        <sz val="18"/>
        <color rgb="FFFF0000"/>
        <rFont val="ＭＳ Ｐゴシック"/>
        <family val="3"/>
        <charset val="128"/>
        <scheme val="minor"/>
      </rPr>
      <t>※学生登校禁止（終日）</t>
    </r>
    <rPh sb="23" eb="25">
      <t>シュウジツ</t>
    </rPh>
    <phoneticPr fontId="19"/>
  </si>
  <si>
    <t>入学者選抜判定会議</t>
    <rPh sb="0" eb="9">
      <t>ニュウガクシャセンバツハンテイカイギ</t>
    </rPh>
    <phoneticPr fontId="19"/>
  </si>
  <si>
    <t>補講日(講義優先)</t>
    <rPh sb="6" eb="8">
      <t>ユウセン</t>
    </rPh>
    <phoneticPr fontId="19"/>
  </si>
  <si>
    <t>補講日
※企業研究セミナーの補講優先</t>
    <rPh sb="0" eb="3">
      <t>ホコウビ</t>
    </rPh>
    <rPh sb="5" eb="7">
      <t>キギョウ</t>
    </rPh>
    <rPh sb="7" eb="9">
      <t>ケンキュウ</t>
    </rPh>
    <rPh sb="14" eb="16">
      <t>ホコウ</t>
    </rPh>
    <rPh sb="16" eb="18">
      <t>ユウセン</t>
    </rPh>
    <phoneticPr fontId="19"/>
  </si>
  <si>
    <t>入学者選抜判定会議</t>
    <rPh sb="0" eb="3">
      <t>ニュウガクシャ</t>
    </rPh>
    <rPh sb="3" eb="5">
      <t>センバツ</t>
    </rPh>
    <rPh sb="5" eb="7">
      <t>ハンテイ</t>
    </rPh>
    <rPh sb="7" eb="9">
      <t>カイギ</t>
    </rPh>
    <phoneticPr fontId="19"/>
  </si>
  <si>
    <t>合格者発表日</t>
    <phoneticPr fontId="19"/>
  </si>
  <si>
    <t>インターンシップ対策部会</t>
    <rPh sb="8" eb="11">
      <t>タイサクブ</t>
    </rPh>
    <rPh sb="11" eb="12">
      <t>カイ</t>
    </rPh>
    <phoneticPr fontId="19"/>
  </si>
  <si>
    <t>進学ガイダンス(3年希望者)</t>
    <phoneticPr fontId="19"/>
  </si>
  <si>
    <r>
      <t xml:space="preserve">後期中間試験①
</t>
    </r>
    <r>
      <rPr>
        <b/>
        <sz val="18"/>
        <color rgb="FFFF0000"/>
        <rFont val="ＭＳ Ｐゴシック"/>
        <family val="3"/>
        <charset val="128"/>
        <scheme val="minor"/>
      </rPr>
      <t>※1年芸術授業日（午前）・試験なし</t>
    </r>
    <r>
      <rPr>
        <sz val="18"/>
        <rFont val="ＭＳ Ｐゴシック"/>
        <family val="3"/>
        <charset val="128"/>
        <scheme val="minor"/>
      </rPr>
      <t xml:space="preserve">
企業研究セミナー事前説明会（参加企業対象）</t>
    </r>
    <rPh sb="17" eb="19">
      <t>ゴゼン</t>
    </rPh>
    <rPh sb="21" eb="23">
      <t>シケン</t>
    </rPh>
    <rPh sb="26" eb="30">
      <t>キギョウケンキュウ</t>
    </rPh>
    <rPh sb="34" eb="36">
      <t>ジゼン</t>
    </rPh>
    <rPh sb="36" eb="39">
      <t>セツメイカイ</t>
    </rPh>
    <rPh sb="40" eb="44">
      <t>サンカキギョウ</t>
    </rPh>
    <rPh sb="44" eb="46">
      <t>タイショウ</t>
    </rPh>
    <phoneticPr fontId="19"/>
  </si>
  <si>
    <t>月8</t>
    <rPh sb="0" eb="1">
      <t>ゲツ</t>
    </rPh>
    <phoneticPr fontId="19"/>
  </si>
  <si>
    <r>
      <t xml:space="preserve">補講日
</t>
    </r>
    <r>
      <rPr>
        <b/>
        <sz val="18"/>
        <rFont val="ＭＳ Ｐゴシック"/>
        <family val="3"/>
        <charset val="128"/>
        <scheme val="minor"/>
      </rPr>
      <t>○</t>
    </r>
    <rPh sb="0" eb="3">
      <t>ホコウビ</t>
    </rPh>
    <phoneticPr fontId="19"/>
  </si>
  <si>
    <r>
      <rPr>
        <b/>
        <sz val="18"/>
        <color rgb="FF000000"/>
        <rFont val="ＭＳ Ｐゴシック"/>
        <family val="2"/>
        <scheme val="minor"/>
      </rPr>
      <t xml:space="preserve">公開授業（入試広報）
</t>
    </r>
    <r>
      <rPr>
        <sz val="18"/>
        <color rgb="FF000000"/>
        <rFont val="ＭＳ Ｐゴシック"/>
        <family val="2"/>
        <scheme val="minor"/>
      </rPr>
      <t>○
企業勉強会（5年）</t>
    </r>
  </si>
  <si>
    <t>教員関連携週間開始
公開授業開始(教職員対象)</t>
    <phoneticPr fontId="19"/>
  </si>
  <si>
    <r>
      <rPr>
        <b/>
        <sz val="18"/>
        <rFont val="ＭＳ Ｐゴシック"/>
        <family val="3"/>
        <charset val="128"/>
        <scheme val="minor"/>
      </rPr>
      <t>合格者発表日</t>
    </r>
    <r>
      <rPr>
        <sz val="18"/>
        <rFont val="ＭＳ Ｐゴシック"/>
        <family val="3"/>
        <charset val="128"/>
        <scheme val="minor"/>
      </rPr>
      <t xml:space="preserve">
執行会議</t>
    </r>
    <rPh sb="0" eb="3">
      <t>ゴウカクシャ</t>
    </rPh>
    <rPh sb="3" eb="6">
      <t>ハッピョウビ</t>
    </rPh>
    <rPh sb="7" eb="9">
      <t>シッコウ</t>
    </rPh>
    <rPh sb="9" eb="11">
      <t>カイギ</t>
    </rPh>
    <phoneticPr fontId="19"/>
  </si>
  <si>
    <r>
      <rPr>
        <b/>
        <sz val="18"/>
        <color rgb="FF000000"/>
        <rFont val="ＭＳ Ｐゴシック"/>
        <family val="2"/>
        <scheme val="minor"/>
      </rPr>
      <t xml:space="preserve">本科入学試験（学力選抜追試験）
</t>
    </r>
    <r>
      <rPr>
        <sz val="18"/>
        <color rgb="FFFF0000"/>
        <rFont val="ＭＳ Ｐゴシック"/>
        <family val="3"/>
        <charset val="128"/>
        <scheme val="minor"/>
      </rPr>
      <t>※学生登校禁止（終日）</t>
    </r>
    <rPh sb="24" eb="26">
      <t>シュウジツ</t>
    </rPh>
    <phoneticPr fontId="19"/>
  </si>
  <si>
    <t>春分の日</t>
  </si>
  <si>
    <t>公開授業（入試広報）</t>
    <phoneticPr fontId="19"/>
  </si>
  <si>
    <t>創立記念日△
クロージングイベント</t>
  </si>
  <si>
    <t>振替休日</t>
    <rPh sb="0" eb="4">
      <t>フリカエキュウジツ</t>
    </rPh>
    <phoneticPr fontId="19"/>
  </si>
  <si>
    <t>勤労感謝の日</t>
    <phoneticPr fontId="19"/>
  </si>
  <si>
    <t>大掃除
■</t>
    <rPh sb="0" eb="3">
      <t>オオソウジ</t>
    </rPh>
    <phoneticPr fontId="19"/>
  </si>
  <si>
    <t>天皇誕生日</t>
    <phoneticPr fontId="19"/>
  </si>
  <si>
    <t>（広報企画室案）第３回学校説明会（中百舌鳥）</t>
  </si>
  <si>
    <t>後期中間試験②</t>
    <phoneticPr fontId="19"/>
  </si>
  <si>
    <t>■</t>
  </si>
  <si>
    <r>
      <t xml:space="preserve">後期中間試験③
</t>
    </r>
    <r>
      <rPr>
        <b/>
        <sz val="18"/>
        <rFont val="ＭＳ Ｐゴシック"/>
        <family val="3"/>
        <charset val="128"/>
        <scheme val="minor"/>
      </rPr>
      <t>■</t>
    </r>
    <phoneticPr fontId="19"/>
  </si>
  <si>
    <t>教員関連携週間終了
公開授業終了(教職員対象)</t>
  </si>
  <si>
    <t>補講日
※企業研究セミナーの補講優先</t>
    <rPh sb="0" eb="3">
      <t>ホコウビ</t>
    </rPh>
    <phoneticPr fontId="19"/>
  </si>
  <si>
    <t>修了認定会議（全学年）</t>
    <rPh sb="7" eb="8">
      <t>ゼン</t>
    </rPh>
    <rPh sb="8" eb="10">
      <t>ガクネン</t>
    </rPh>
    <phoneticPr fontId="19"/>
  </si>
  <si>
    <t>公立高専協会理事会（第2回）</t>
    <rPh sb="0" eb="2">
      <t>コウリツ</t>
    </rPh>
    <rPh sb="2" eb="4">
      <t>コウセン</t>
    </rPh>
    <rPh sb="4" eb="6">
      <t>キョウカイ</t>
    </rPh>
    <rPh sb="6" eb="9">
      <t>リジカイ</t>
    </rPh>
    <rPh sb="10" eb="11">
      <t>ダイ</t>
    </rPh>
    <rPh sb="12" eb="13">
      <t>カイ</t>
    </rPh>
    <phoneticPr fontId="19"/>
  </si>
  <si>
    <t>後期中間試験④</t>
    <phoneticPr fontId="19"/>
  </si>
  <si>
    <t>冬期休業開始
TP/APWS予定</t>
  </si>
  <si>
    <t>学年末試験①</t>
    <phoneticPr fontId="19"/>
  </si>
  <si>
    <t>第１回進路対策部会</t>
  </si>
  <si>
    <r>
      <rPr>
        <b/>
        <sz val="18"/>
        <color rgb="FF0070C0"/>
        <rFont val="ＭＳ Ｐゴシック"/>
        <family val="3"/>
        <charset val="128"/>
      </rPr>
      <t xml:space="preserve">後期中間試験⑤
</t>
    </r>
    <r>
      <rPr>
        <sz val="18"/>
        <color rgb="FF000000"/>
        <rFont val="ＭＳ Ｐゴシック"/>
        <family val="3"/>
        <charset val="128"/>
      </rPr>
      <t xml:space="preserve">消費者教育講演会(2年)
</t>
    </r>
  </si>
  <si>
    <t>TP/APWS予定</t>
  </si>
  <si>
    <r>
      <t xml:space="preserve">学年末試験②
</t>
    </r>
    <r>
      <rPr>
        <b/>
        <sz val="18"/>
        <rFont val="ＭＳ Ｐゴシック"/>
        <family val="3"/>
        <charset val="128"/>
        <scheme val="minor"/>
      </rPr>
      <t>■</t>
    </r>
    <phoneticPr fontId="19"/>
  </si>
  <si>
    <t>（広報企画室案）第４回学校説明会（中百舌鳥）</t>
    <phoneticPr fontId="19"/>
  </si>
  <si>
    <t>学年末試験③</t>
    <phoneticPr fontId="19"/>
  </si>
  <si>
    <r>
      <t xml:space="preserve">学年末試験④
</t>
    </r>
    <r>
      <rPr>
        <sz val="18"/>
        <rFont val="ＭＳ Ｐゴシック"/>
        <family val="3"/>
        <charset val="128"/>
        <scheme val="minor"/>
      </rPr>
      <t>就職面接説明会（4年生）</t>
    </r>
    <rPh sb="7" eb="11">
      <t>シュウショクメンセツ</t>
    </rPh>
    <rPh sb="11" eb="14">
      <t>セツメイカイ</t>
    </rPh>
    <rPh sb="16" eb="18">
      <t>ネンセイ</t>
    </rPh>
    <phoneticPr fontId="19"/>
  </si>
  <si>
    <t>年末年始休暇</t>
    <phoneticPr fontId="19"/>
  </si>
  <si>
    <t>2026年度授業実施予定</t>
    <rPh sb="4" eb="6">
      <t>ネンド</t>
    </rPh>
    <rPh sb="6" eb="8">
      <t>ジュギョウ</t>
    </rPh>
    <rPh sb="8" eb="10">
      <t>ジッシ</t>
    </rPh>
    <rPh sb="10" eb="12">
      <t>ヨテイ</t>
    </rPh>
    <phoneticPr fontId="19"/>
  </si>
  <si>
    <t>前期</t>
    <rPh sb="0" eb="2">
      <t>ゼンキ</t>
    </rPh>
    <phoneticPr fontId="19"/>
  </si>
  <si>
    <t>中間試験</t>
    <rPh sb="0" eb="2">
      <t>チュウカン</t>
    </rPh>
    <rPh sb="2" eb="4">
      <t>シケン</t>
    </rPh>
    <phoneticPr fontId="19"/>
  </si>
  <si>
    <t>①</t>
    <phoneticPr fontId="19"/>
  </si>
  <si>
    <t>②</t>
    <phoneticPr fontId="19"/>
  </si>
  <si>
    <t>③</t>
    <phoneticPr fontId="19"/>
  </si>
  <si>
    <t>④</t>
    <phoneticPr fontId="19"/>
  </si>
  <si>
    <t>⑤</t>
    <phoneticPr fontId="19"/>
  </si>
  <si>
    <t>⑥</t>
    <phoneticPr fontId="19"/>
  </si>
  <si>
    <t>⑦</t>
    <phoneticPr fontId="19"/>
  </si>
  <si>
    <t>⑧</t>
    <phoneticPr fontId="19"/>
  </si>
  <si>
    <t>⑨</t>
    <phoneticPr fontId="19"/>
  </si>
  <si>
    <t>⑩</t>
    <phoneticPr fontId="19"/>
  </si>
  <si>
    <t>⑪</t>
    <phoneticPr fontId="19"/>
  </si>
  <si>
    <t>⑫</t>
    <phoneticPr fontId="19"/>
  </si>
  <si>
    <t>⑬</t>
    <phoneticPr fontId="19"/>
  </si>
  <si>
    <t>⑭</t>
    <phoneticPr fontId="19"/>
  </si>
  <si>
    <t>⑮</t>
    <phoneticPr fontId="19"/>
  </si>
  <si>
    <t>月</t>
    <rPh sb="0" eb="1">
      <t>ゲツ</t>
    </rPh>
    <phoneticPr fontId="19"/>
  </si>
  <si>
    <t>火</t>
    <rPh sb="0" eb="1">
      <t>ヒ</t>
    </rPh>
    <phoneticPr fontId="19"/>
  </si>
  <si>
    <t>水</t>
    <rPh sb="0" eb="1">
      <t>スイ</t>
    </rPh>
    <phoneticPr fontId="19"/>
  </si>
  <si>
    <t>木</t>
    <rPh sb="0" eb="1">
      <t>モク</t>
    </rPh>
    <phoneticPr fontId="19"/>
  </si>
  <si>
    <t>金</t>
    <rPh sb="0" eb="1">
      <t>キン</t>
    </rPh>
    <phoneticPr fontId="19"/>
  </si>
  <si>
    <t>後期</t>
    <rPh sb="0" eb="2">
      <t>コウキ</t>
    </rPh>
    <phoneticPr fontId="19"/>
  </si>
  <si>
    <t>11/5,9</t>
    <phoneticPr fontId="19"/>
  </si>
  <si>
    <t>年度 行事予定表（前期）</t>
  </si>
  <si>
    <t>【情報機密性２・学内に限る】</t>
    <rPh sb="1" eb="3">
      <t>ジョウホウ</t>
    </rPh>
    <rPh sb="3" eb="5">
      <t>キミツ</t>
    </rPh>
    <rPh sb="5" eb="6">
      <t>セイ</t>
    </rPh>
    <rPh sb="8" eb="10">
      <t>ガクナイ</t>
    </rPh>
    <rPh sb="11" eb="12">
      <t>カギ</t>
    </rPh>
    <phoneticPr fontId="19"/>
  </si>
  <si>
    <r>
      <rPr>
        <sz val="20"/>
        <color rgb="FF000000"/>
        <rFont val="Segoe UI Symbol"/>
        <family val="2"/>
      </rPr>
      <t>●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：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教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職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員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会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議</t>
    </r>
    <phoneticPr fontId="19"/>
  </si>
  <si>
    <r>
      <rPr>
        <sz val="20"/>
        <color rgb="FFFF0000"/>
        <rFont val="Segoe UI Symbol"/>
        <family val="2"/>
      </rPr>
      <t>◆</t>
    </r>
    <r>
      <rPr>
        <sz val="20"/>
        <color rgb="FFFF0000"/>
        <rFont val="ＭＳ Ｐゴシック"/>
        <family val="2"/>
        <charset val="128"/>
      </rPr>
      <t>　：　高専教授会</t>
    </r>
    <rPh sb="4" eb="6">
      <t>コウセン</t>
    </rPh>
    <rPh sb="6" eb="9">
      <t>キョウジュカイ</t>
    </rPh>
    <phoneticPr fontId="19"/>
  </si>
  <si>
    <r>
      <rPr>
        <sz val="20"/>
        <color rgb="FF000000"/>
        <rFont val="Segoe UI Symbol"/>
        <family val="2"/>
      </rPr>
      <t>■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：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運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営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会</t>
    </r>
    <r>
      <rPr>
        <sz val="20"/>
        <color rgb="FF000000"/>
        <rFont val="Arial"/>
        <family val="2"/>
      </rPr>
      <t xml:space="preserve"> </t>
    </r>
    <r>
      <rPr>
        <sz val="20"/>
        <color rgb="FF000000"/>
        <rFont val="ＭＳ ゴシック"/>
        <family val="3"/>
        <charset val="128"/>
      </rPr>
      <t>議</t>
    </r>
    <phoneticPr fontId="19"/>
  </si>
  <si>
    <r>
      <rPr>
        <sz val="20"/>
        <rFont val="Segoe UI Symbol"/>
        <family val="2"/>
      </rPr>
      <t>○</t>
    </r>
    <r>
      <rPr>
        <sz val="20"/>
        <rFont val="ＭＳ Ｐゴシック"/>
        <family val="2"/>
        <charset val="128"/>
      </rPr>
      <t>　：　コース会議(</t>
    </r>
    <r>
      <rPr>
        <sz val="20"/>
        <rFont val="Arial"/>
        <family val="2"/>
      </rPr>
      <t>R</t>
    </r>
    <r>
      <rPr>
        <sz val="20"/>
        <rFont val="ＭＳ Ｐゴシック"/>
        <family val="2"/>
        <charset val="128"/>
      </rPr>
      <t>)</t>
    </r>
    <rPh sb="7" eb="9">
      <t>カイギ</t>
    </rPh>
    <phoneticPr fontId="19"/>
  </si>
  <si>
    <r>
      <rPr>
        <sz val="20"/>
        <rFont val="Segoe UI Symbol"/>
        <family val="2"/>
      </rPr>
      <t>□</t>
    </r>
    <r>
      <rPr>
        <sz val="20"/>
        <rFont val="ＭＳ Ｐゴシック"/>
        <family val="2"/>
        <charset val="128"/>
      </rPr>
      <t>　：　一般科目系会議</t>
    </r>
    <rPh sb="4" eb="6">
      <t>イッパン</t>
    </rPh>
    <rPh sb="6" eb="8">
      <t>カモク</t>
    </rPh>
    <rPh sb="8" eb="9">
      <t>ケイ</t>
    </rPh>
    <rPh sb="9" eb="11">
      <t>カイギ</t>
    </rPh>
    <phoneticPr fontId="19"/>
  </si>
  <si>
    <t>専攻科</t>
  </si>
  <si>
    <t>春季休業開始　　　　　　　　　</t>
    <phoneticPr fontId="19"/>
  </si>
  <si>
    <t>春季休業開始</t>
    <phoneticPr fontId="19"/>
  </si>
  <si>
    <t>月4</t>
    <rPh sb="0" eb="1">
      <t>ゲツ</t>
    </rPh>
    <phoneticPr fontId="19"/>
  </si>
  <si>
    <t>内科・歯科検診(2・4年)
※医師2名体制</t>
  </si>
  <si>
    <t>前期末試験①</t>
    <phoneticPr fontId="19"/>
  </si>
  <si>
    <t>専攻科授業（金15）</t>
    <rPh sb="6" eb="7">
      <t>キン</t>
    </rPh>
    <phoneticPr fontId="19"/>
  </si>
  <si>
    <t>尿検査2次2日目（尿検査最終日）</t>
  </si>
  <si>
    <r>
      <t>■</t>
    </r>
    <r>
      <rPr>
        <sz val="18"/>
        <color rgb="FFFF0000"/>
        <rFont val="ＭＳ Ｐゴシック"/>
        <family val="3"/>
        <charset val="128"/>
        <scheme val="minor"/>
      </rPr>
      <t>◆高専教授会</t>
    </r>
    <r>
      <rPr>
        <sz val="18"/>
        <rFont val="ＭＳ Ｐゴシック"/>
        <family val="3"/>
        <charset val="128"/>
        <scheme val="minor"/>
      </rPr>
      <t xml:space="preserve">
前期末試験②</t>
    </r>
    <phoneticPr fontId="19"/>
  </si>
  <si>
    <t>専攻科授業（水15）</t>
    <rPh sb="6" eb="7">
      <t>スイ</t>
    </rPh>
    <phoneticPr fontId="19"/>
  </si>
  <si>
    <r>
      <t xml:space="preserve">辞令・校長面談
新任教員研修
</t>
    </r>
    <r>
      <rPr>
        <sz val="18"/>
        <color rgb="FFFF0000"/>
        <rFont val="ＭＳ Ｐゴシック"/>
        <family val="3"/>
        <charset val="128"/>
        <scheme val="minor"/>
      </rPr>
      <t>コース・選択科目発表</t>
    </r>
    <rPh sb="0" eb="2">
      <t>ジレイ</t>
    </rPh>
    <rPh sb="3" eb="5">
      <t>コウチョウ</t>
    </rPh>
    <rPh sb="5" eb="7">
      <t>メンダン</t>
    </rPh>
    <rPh sb="8" eb="10">
      <t>シンニン</t>
    </rPh>
    <rPh sb="10" eb="12">
      <t>キョウイン</t>
    </rPh>
    <rPh sb="12" eb="14">
      <t>ケンシュウ</t>
    </rPh>
    <rPh sb="19" eb="21">
      <t>センタク</t>
    </rPh>
    <rPh sb="21" eb="23">
      <t>カモク</t>
    </rPh>
    <rPh sb="23" eb="25">
      <t>ハッピョウ</t>
    </rPh>
    <phoneticPr fontId="19"/>
  </si>
  <si>
    <t>専攻科入学試験(一般・社会人選抜)
※学生登校禁止</t>
    <rPh sb="0" eb="3">
      <t>センコウカ</t>
    </rPh>
    <rPh sb="3" eb="5">
      <t>ニュウガク</t>
    </rPh>
    <rPh sb="5" eb="7">
      <t>シケン</t>
    </rPh>
    <rPh sb="8" eb="10">
      <t>イッパン</t>
    </rPh>
    <rPh sb="11" eb="14">
      <t>シャカイジン</t>
    </rPh>
    <rPh sb="14" eb="16">
      <t>センバツ</t>
    </rPh>
    <rPh sb="19" eb="23">
      <t>ガクセイトウコウ</t>
    </rPh>
    <rPh sb="23" eb="25">
      <t>キンシ</t>
    </rPh>
    <phoneticPr fontId="19"/>
  </si>
  <si>
    <t>月12</t>
    <rPh sb="0" eb="1">
      <t>ゲツ</t>
    </rPh>
    <phoneticPr fontId="19"/>
  </si>
  <si>
    <t>●
前期末試験③</t>
    <phoneticPr fontId="19"/>
  </si>
  <si>
    <t>専攻科授業（木15）</t>
    <rPh sb="6" eb="7">
      <t>モク</t>
    </rPh>
    <phoneticPr fontId="19"/>
  </si>
  <si>
    <t>新任教員研修</t>
    <phoneticPr fontId="19"/>
  </si>
  <si>
    <t>みどりの日</t>
  </si>
  <si>
    <t>火12</t>
    <rPh sb="0" eb="1">
      <t>ヒ</t>
    </rPh>
    <phoneticPr fontId="19"/>
  </si>
  <si>
    <t>※成績確認票提出締切(予定)
 →成績配布は9月末</t>
  </si>
  <si>
    <r>
      <t>■</t>
    </r>
    <r>
      <rPr>
        <sz val="18"/>
        <color rgb="FFFF0000"/>
        <rFont val="ＭＳ Ｐゴシック"/>
        <family val="3"/>
        <charset val="128"/>
        <scheme val="minor"/>
      </rPr>
      <t>◆高専教授会</t>
    </r>
    <r>
      <rPr>
        <sz val="18"/>
        <rFont val="ＭＳ Ｐゴシック"/>
        <family val="3"/>
        <charset val="128"/>
        <scheme val="minor"/>
      </rPr>
      <t xml:space="preserve">
合同担任会議</t>
    </r>
    <phoneticPr fontId="19"/>
  </si>
  <si>
    <t>こどもの日</t>
  </si>
  <si>
    <r>
      <rPr>
        <sz val="16"/>
        <color rgb="FFFF0000"/>
        <rFont val="ＭＳ Ｐゴシック"/>
        <family val="2"/>
        <charset val="128"/>
      </rPr>
      <t>木</t>
    </r>
    <r>
      <rPr>
        <sz val="16"/>
        <color rgb="FFFF0000"/>
        <rFont val="Arial"/>
        <family val="2"/>
      </rPr>
      <t>7</t>
    </r>
    <rPh sb="0" eb="1">
      <t>モク</t>
    </rPh>
    <phoneticPr fontId="19"/>
  </si>
  <si>
    <t>木曜授業日</t>
    <rPh sb="0" eb="2">
      <t>モクヨウ</t>
    </rPh>
    <rPh sb="2" eb="4">
      <t>ジュギョウ</t>
    </rPh>
    <rPh sb="4" eb="5">
      <t>ビ</t>
    </rPh>
    <phoneticPr fontId="19"/>
  </si>
  <si>
    <r>
      <rPr>
        <sz val="18"/>
        <color rgb="FF000000"/>
        <rFont val="ＭＳ Ｐゴシック"/>
        <family val="3"/>
        <charset val="128"/>
      </rPr>
      <t>■</t>
    </r>
    <r>
      <rPr>
        <sz val="18"/>
        <color rgb="FFFF0000"/>
        <rFont val="ＭＳ Ｐゴシック"/>
        <family val="3"/>
        <charset val="128"/>
      </rPr>
      <t xml:space="preserve">◆高専教授会
</t>
    </r>
    <r>
      <rPr>
        <sz val="18"/>
        <color rgb="FF000000"/>
        <rFont val="ＭＳ Ｐゴシック"/>
        <family val="3"/>
        <charset val="128"/>
      </rPr>
      <t>薬物乱用防止教室(2年)</t>
    </r>
  </si>
  <si>
    <t>●
春季休業終了</t>
    <rPh sb="2" eb="3">
      <t>ハル</t>
    </rPh>
    <phoneticPr fontId="19"/>
  </si>
  <si>
    <t>補講日
※2・3年校外学習振替（金曜授業）</t>
    <rPh sb="0" eb="3">
      <t>ホコウビ</t>
    </rPh>
    <rPh sb="8" eb="9">
      <t>ネン</t>
    </rPh>
    <rPh sb="9" eb="11">
      <t>コウガイ</t>
    </rPh>
    <rPh sb="11" eb="13">
      <t>ガクシュウ</t>
    </rPh>
    <rPh sb="13" eb="15">
      <t>フリカエ</t>
    </rPh>
    <rPh sb="16" eb="18">
      <t>キンヨウ</t>
    </rPh>
    <rPh sb="18" eb="20">
      <t>ジュギョウ</t>
    </rPh>
    <phoneticPr fontId="19"/>
  </si>
  <si>
    <t>火8</t>
    <rPh sb="0" eb="1">
      <t>ヒ</t>
    </rPh>
    <phoneticPr fontId="19"/>
  </si>
  <si>
    <t>【午後】入学式（1年)△
【午前】始業式（2年)△
※教科書販売</t>
    <rPh sb="1" eb="3">
      <t>ゴゴ</t>
    </rPh>
    <rPh sb="9" eb="10">
      <t>ネン</t>
    </rPh>
    <rPh sb="14" eb="16">
      <t>ゴゼン</t>
    </rPh>
    <rPh sb="17" eb="20">
      <t>シギョウシキ</t>
    </rPh>
    <rPh sb="22" eb="23">
      <t>ネン</t>
    </rPh>
    <phoneticPr fontId="19"/>
  </si>
  <si>
    <r>
      <t>■</t>
    </r>
    <r>
      <rPr>
        <sz val="18"/>
        <color rgb="FFFF0000"/>
        <rFont val="ＭＳ Ｐゴシック"/>
        <family val="3"/>
        <charset val="128"/>
        <scheme val="minor"/>
      </rPr>
      <t>◆高専教授会</t>
    </r>
    <r>
      <rPr>
        <sz val="18"/>
        <rFont val="ＭＳ Ｐゴシック"/>
        <family val="3"/>
        <charset val="128"/>
        <scheme val="minor"/>
      </rPr>
      <t xml:space="preserve">
前期中間試験①</t>
    </r>
    <phoneticPr fontId="19"/>
  </si>
  <si>
    <t>前期末試験⑤        
人権教育講演会（4年）</t>
  </si>
  <si>
    <t>月5</t>
    <rPh sb="0" eb="1">
      <t>ゲツ</t>
    </rPh>
    <phoneticPr fontId="19"/>
  </si>
  <si>
    <t>●
前期中間試験②</t>
    <phoneticPr fontId="19"/>
  </si>
  <si>
    <t>4年次編入学試験(推薦・学力)
※学生登校禁止</t>
    <rPh sb="1" eb="2">
      <t>ネン</t>
    </rPh>
    <rPh sb="2" eb="3">
      <t>ジ</t>
    </rPh>
    <rPh sb="3" eb="6">
      <t>ヘンニュウガク</t>
    </rPh>
    <rPh sb="6" eb="8">
      <t>シケン</t>
    </rPh>
    <rPh sb="9" eb="11">
      <t>スイセン</t>
    </rPh>
    <rPh sb="12" eb="14">
      <t>ガクリョク</t>
    </rPh>
    <rPh sb="17" eb="21">
      <t>ガクセイトウコウ</t>
    </rPh>
    <rPh sb="21" eb="23">
      <t>キンシ</t>
    </rPh>
    <phoneticPr fontId="19"/>
  </si>
  <si>
    <r>
      <rPr>
        <sz val="18"/>
        <rFont val="ＭＳ Ｐゴシック"/>
        <family val="3"/>
        <charset val="128"/>
        <scheme val="minor"/>
      </rPr>
      <t>前期末試験（予備日）</t>
    </r>
    <r>
      <rPr>
        <sz val="18"/>
        <color rgb="FF7030A0"/>
        <rFont val="ＭＳ Ｐゴシック"/>
        <family val="3"/>
        <charset val="128"/>
        <scheme val="minor"/>
      </rPr>
      <t xml:space="preserve">
工学研究の最先端（集中講義）</t>
    </r>
    <rPh sb="0" eb="3">
      <t>ゼンキマツ</t>
    </rPh>
    <rPh sb="3" eb="5">
      <t>シケン</t>
    </rPh>
    <rPh sb="6" eb="9">
      <t>ヨビビ</t>
    </rPh>
    <phoneticPr fontId="19"/>
  </si>
  <si>
    <t>前期中間試験③
教職員健康診断・特殊健康診断　　　　　　　</t>
    <phoneticPr fontId="19"/>
  </si>
  <si>
    <t>特殊健康診断　　　　　　　</t>
  </si>
  <si>
    <t>工学研究の最先端（集中講義）</t>
    <phoneticPr fontId="19"/>
  </si>
  <si>
    <r>
      <rPr>
        <sz val="18"/>
        <color rgb="FF00B050"/>
        <rFont val="ＭＳ Ｐゴシック"/>
        <family val="3"/>
        <charset val="128"/>
      </rPr>
      <t xml:space="preserve">第2回学校説明会
</t>
    </r>
    <r>
      <rPr>
        <sz val="18"/>
        <color rgb="FF000000"/>
        <rFont val="ＭＳ Ｐゴシック"/>
        <family val="3"/>
        <charset val="128"/>
      </rPr>
      <t>高専女子フォーラム</t>
    </r>
  </si>
  <si>
    <t>第2回学校説明会</t>
  </si>
  <si>
    <t>各種身体検査　(1・2・4年)尿検査1次
ガイダンス(1・2・4年)△
心電図検査（1年、4年次編入、要管理者のみ）</t>
    <rPh sb="32" eb="33">
      <t>ネン</t>
    </rPh>
    <phoneticPr fontId="19"/>
  </si>
  <si>
    <r>
      <rPr>
        <sz val="18"/>
        <color rgb="FFFF0000"/>
        <rFont val="ＭＳ Ｐゴシック"/>
        <family val="3"/>
        <charset val="128"/>
        <scheme val="minor"/>
      </rPr>
      <t xml:space="preserve">専攻科授業（月1）
</t>
    </r>
    <r>
      <rPr>
        <sz val="18"/>
        <rFont val="ＭＳ Ｐゴシック"/>
        <family val="3"/>
        <charset val="128"/>
        <scheme val="minor"/>
      </rPr>
      <t>胸部レントゲン(F1のみ)
心電図検査（要管理者のみ）</t>
    </r>
    <phoneticPr fontId="19"/>
  </si>
  <si>
    <r>
      <t>■</t>
    </r>
    <r>
      <rPr>
        <sz val="18"/>
        <color rgb="FFFF0000"/>
        <rFont val="ＭＳ Ｐゴシック"/>
        <family val="3"/>
        <charset val="128"/>
        <scheme val="minor"/>
      </rPr>
      <t>◆高専教授会</t>
    </r>
    <phoneticPr fontId="19"/>
  </si>
  <si>
    <t>進学説明会（4年希望者）</t>
  </si>
  <si>
    <t>月13</t>
    <rPh sb="0" eb="1">
      <t>ゲツ</t>
    </rPh>
    <phoneticPr fontId="19"/>
  </si>
  <si>
    <r>
      <rPr>
        <sz val="18"/>
        <color rgb="FF000000"/>
        <rFont val="ＭＳ Ｐゴシック"/>
        <family val="3"/>
        <charset val="128"/>
      </rPr>
      <t xml:space="preserve">夏季休業開始
インターンシップ開始
企業見学会開始（2年）
</t>
    </r>
    <r>
      <rPr>
        <sz val="18"/>
        <color rgb="FF7030A0"/>
        <rFont val="ＭＳ Ｐゴシック"/>
        <family val="3"/>
        <charset val="128"/>
      </rPr>
      <t>工学研究の最先端（集中講義）</t>
    </r>
  </si>
  <si>
    <t>夏季休業開始
インターンシップ開始</t>
    <phoneticPr fontId="19"/>
  </si>
  <si>
    <r>
      <rPr>
        <b/>
        <sz val="18"/>
        <color rgb="FF000000"/>
        <rFont val="ＭＳ Ｐゴシック"/>
        <family val="3"/>
        <charset val="128"/>
      </rPr>
      <t xml:space="preserve">各種身体検査(3・5年）　　尿検査1次
ガイダンス(3・5年）△
</t>
    </r>
    <r>
      <rPr>
        <b/>
        <sz val="18"/>
        <color rgb="FFFF0000"/>
        <rFont val="ＭＳ Ｐゴシック"/>
        <family val="3"/>
        <charset val="128"/>
      </rPr>
      <t>貸与PCガイダンス（1年）</t>
    </r>
  </si>
  <si>
    <t>各種身体検査
尿検査1次
ガイダンス△</t>
    <phoneticPr fontId="19"/>
  </si>
  <si>
    <t>火13</t>
    <rPh sb="0" eb="1">
      <t>ヒ</t>
    </rPh>
    <phoneticPr fontId="19"/>
  </si>
  <si>
    <t>山の日</t>
    <phoneticPr fontId="19"/>
  </si>
  <si>
    <r>
      <t xml:space="preserve">前期授業開始
</t>
    </r>
    <r>
      <rPr>
        <b/>
        <sz val="18"/>
        <color rgb="FFFF0000"/>
        <rFont val="ＭＳ Ｐゴシック"/>
        <family val="3"/>
        <charset val="128"/>
      </rPr>
      <t>学内インターンシップ企業説明会予定（放課後：3・4・5年生）</t>
    </r>
    <phoneticPr fontId="19"/>
  </si>
  <si>
    <t>前期中間試験④</t>
  </si>
  <si>
    <t>月9</t>
    <rPh sb="0" eb="1">
      <t>ゲツ</t>
    </rPh>
    <phoneticPr fontId="19"/>
  </si>
  <si>
    <t xml:space="preserve">内科・歯科検診(1年)
※医師1名体制　　　　　　　教職員特殊歯科検診（1回目）
</t>
    <phoneticPr fontId="19"/>
  </si>
  <si>
    <r>
      <rPr>
        <sz val="18"/>
        <color rgb="FF000000"/>
        <rFont val="ＭＳ Ｐゴシック"/>
        <family val="3"/>
        <charset val="128"/>
      </rPr>
      <t xml:space="preserve">前期中間試験⑤
</t>
    </r>
    <r>
      <rPr>
        <sz val="18"/>
        <color rgb="FFFF0000"/>
        <rFont val="ＭＳ Ｐゴシック"/>
        <family val="3"/>
        <charset val="128"/>
      </rPr>
      <t xml:space="preserve">午後水曜授業(1～3年)
</t>
    </r>
    <r>
      <rPr>
        <sz val="18"/>
        <color rgb="FF000000"/>
        <rFont val="ＭＳ Ｐゴシック"/>
        <family val="3"/>
        <charset val="128"/>
      </rPr>
      <t>自転車安全講習会(1年)</t>
    </r>
  </si>
  <si>
    <t>火9</t>
    <rPh sb="0" eb="1">
      <t>ヒ</t>
    </rPh>
    <phoneticPr fontId="19"/>
  </si>
  <si>
    <t>夏季休業終了
インターンシップ終了
企業見学会終了（2年）</t>
  </si>
  <si>
    <t>人権教育講演会（5年）　　　大掃除</t>
  </si>
  <si>
    <t>前期末試験（4・5年／予備日）</t>
  </si>
  <si>
    <t>月6</t>
    <rPh sb="0" eb="1">
      <t>ゲツ</t>
    </rPh>
    <phoneticPr fontId="19"/>
  </si>
  <si>
    <t>第1回学校説明会</t>
    <phoneticPr fontId="19"/>
  </si>
  <si>
    <t>第1回学校説明会</t>
  </si>
  <si>
    <r>
      <rPr>
        <b/>
        <sz val="16"/>
        <color rgb="FFFF0000"/>
        <rFont val="ＭＳ Ｐゴシック"/>
        <family val="3"/>
        <charset val="128"/>
      </rPr>
      <t>全学休業日（</t>
    </r>
    <r>
      <rPr>
        <b/>
        <sz val="16"/>
        <color rgb="FFFF0000"/>
        <rFont val="Arial"/>
        <family val="2"/>
      </rPr>
      <t>8/15</t>
    </r>
    <r>
      <rPr>
        <b/>
        <sz val="16"/>
        <color rgb="FFFF0000"/>
        <rFont val="ＭＳ Ｐゴシック"/>
        <family val="3"/>
        <charset val="128"/>
      </rPr>
      <t>固定、</t>
    </r>
    <r>
      <rPr>
        <b/>
        <sz val="16"/>
        <color rgb="FFFF0000"/>
        <rFont val="Arial"/>
        <family val="2"/>
      </rPr>
      <t>8/15</t>
    </r>
    <r>
      <rPr>
        <b/>
        <sz val="16"/>
        <color rgb="FFFF0000"/>
        <rFont val="ＭＳ Ｐゴシック"/>
        <family val="3"/>
        <charset val="128"/>
      </rPr>
      <t>が土→</t>
    </r>
    <r>
      <rPr>
        <b/>
        <sz val="16"/>
        <color rgb="FFFF0000"/>
        <rFont val="Arial"/>
        <family val="2"/>
      </rPr>
      <t>8/14,</t>
    </r>
    <r>
      <rPr>
        <b/>
        <sz val="16"/>
        <color rgb="FFFF0000"/>
        <rFont val="ＭＳ Ｐゴシック"/>
        <family val="3"/>
        <charset val="128"/>
      </rPr>
      <t>日→</t>
    </r>
    <r>
      <rPr>
        <b/>
        <sz val="16"/>
        <color rgb="FFFF0000"/>
        <rFont val="Arial"/>
        <family val="2"/>
      </rPr>
      <t>8/16</t>
    </r>
    <r>
      <rPr>
        <b/>
        <sz val="16"/>
        <color rgb="FFFF0000"/>
        <rFont val="ＭＳ Ｐゴシック"/>
        <family val="3"/>
        <charset val="128"/>
      </rPr>
      <t>）</t>
    </r>
    <phoneticPr fontId="19"/>
  </si>
  <si>
    <t>全学休業日（8/15固定、8/15が土→8/14,日→8/16）</t>
  </si>
  <si>
    <t>前期末試験（4・5年／予備日）</t>
    <rPh sb="0" eb="2">
      <t>ゼンキ</t>
    </rPh>
    <rPh sb="2" eb="3">
      <t>マツ</t>
    </rPh>
    <rPh sb="3" eb="5">
      <t>シケン</t>
    </rPh>
    <rPh sb="9" eb="10">
      <t>ネン</t>
    </rPh>
    <rPh sb="11" eb="14">
      <t>ヨビビ</t>
    </rPh>
    <phoneticPr fontId="19"/>
  </si>
  <si>
    <t>月2</t>
    <rPh sb="0" eb="1">
      <t>ゲツ</t>
    </rPh>
    <phoneticPr fontId="19"/>
  </si>
  <si>
    <t>人権教育講演会（2年）</t>
  </si>
  <si>
    <t>体験入学</t>
  </si>
  <si>
    <t>内科・歯科検診（3・5年）
※医師2名体制</t>
  </si>
  <si>
    <t>内科・歯科検診（1・2年）
※医師2名体制</t>
  </si>
  <si>
    <t>教員間連携週間開始</t>
    <phoneticPr fontId="19"/>
  </si>
  <si>
    <t>火14
教員間連携週間開始</t>
    <rPh sb="0" eb="1">
      <t>ヒ</t>
    </rPh>
    <phoneticPr fontId="19"/>
  </si>
  <si>
    <t>敬老の日</t>
    <phoneticPr fontId="19"/>
  </si>
  <si>
    <t>月10</t>
    <rPh sb="0" eb="1">
      <t>ゲツ</t>
    </rPh>
    <phoneticPr fontId="19"/>
  </si>
  <si>
    <t>○
インターンシップ事前教育(4年)</t>
    <phoneticPr fontId="19"/>
  </si>
  <si>
    <t>火10</t>
    <rPh sb="0" eb="1">
      <t>ヒ</t>
    </rPh>
    <phoneticPr fontId="19"/>
  </si>
  <si>
    <r>
      <rPr>
        <sz val="18"/>
        <rFont val="ＭＳ Ｐゴシック"/>
        <family val="3"/>
        <charset val="128"/>
        <scheme val="minor"/>
      </rPr>
      <t>○</t>
    </r>
    <r>
      <rPr>
        <sz val="18"/>
        <color rgb="FF0000FF"/>
        <rFont val="ＭＳ Ｐゴシック"/>
        <family val="3"/>
        <charset val="128"/>
        <scheme val="minor"/>
      </rPr>
      <t xml:space="preserve">
授業日（試験返却）</t>
    </r>
    <phoneticPr fontId="19"/>
  </si>
  <si>
    <t>宿泊オリエンテーション(1年)・校外学習(2, 3年)</t>
    <phoneticPr fontId="19"/>
  </si>
  <si>
    <t>○
文化行事(1-3年、午後△)</t>
  </si>
  <si>
    <t>宿泊オリエンテーション(1年）</t>
    <phoneticPr fontId="19"/>
  </si>
  <si>
    <t>月7</t>
    <rPh sb="0" eb="1">
      <t>ゲツ</t>
    </rPh>
    <phoneticPr fontId="19"/>
  </si>
  <si>
    <t>学位授与申請書類事務局提出および電子申請Web入力期限(予定)</t>
  </si>
  <si>
    <t>※成績表配布（予定）</t>
    <phoneticPr fontId="19"/>
  </si>
  <si>
    <t>防災リテラシー（集中講義）</t>
    <phoneticPr fontId="19"/>
  </si>
  <si>
    <t>秋分の日</t>
  </si>
  <si>
    <t>月3</t>
    <rPh sb="0" eb="1">
      <t>ゲツ</t>
    </rPh>
    <phoneticPr fontId="19"/>
  </si>
  <si>
    <t>後援会総会
保護者懇談会開始</t>
    <rPh sb="0" eb="3">
      <t>コウエンカイ</t>
    </rPh>
    <rPh sb="3" eb="5">
      <t>ソウカイ</t>
    </rPh>
    <rPh sb="6" eb="9">
      <t>ホゴシャ</t>
    </rPh>
    <rPh sb="9" eb="12">
      <t>コンダンカイ</t>
    </rPh>
    <rPh sb="12" eb="14">
      <t>カイシ</t>
    </rPh>
    <phoneticPr fontId="19"/>
  </si>
  <si>
    <t>後援会総会</t>
  </si>
  <si>
    <t>教員関連携週間終了</t>
    <phoneticPr fontId="19"/>
  </si>
  <si>
    <t>月14
教員関連携週間終了</t>
    <rPh sb="0" eb="1">
      <t>ゲツ</t>
    </rPh>
    <phoneticPr fontId="19"/>
  </si>
  <si>
    <t>尿検査2次1日目</t>
  </si>
  <si>
    <t>火15</t>
    <rPh sb="0" eb="1">
      <t>ヒ</t>
    </rPh>
    <phoneticPr fontId="19"/>
  </si>
  <si>
    <t>□
救急救命講習（クラブ）
着こなし方講座(4年）</t>
    <phoneticPr fontId="19"/>
  </si>
  <si>
    <t>公開授業開始　　　　　　　
教科担当者会議(1年)</t>
    <phoneticPr fontId="19"/>
  </si>
  <si>
    <t>公開授業開始
月11</t>
    <rPh sb="7" eb="8">
      <t>ゲツ</t>
    </rPh>
    <phoneticPr fontId="19"/>
  </si>
  <si>
    <r>
      <rPr>
        <sz val="18"/>
        <color rgb="FF000000"/>
        <rFont val="ＭＳ Ｐゴシック"/>
        <family val="3"/>
        <charset val="128"/>
      </rPr>
      <t xml:space="preserve">□
</t>
    </r>
    <r>
      <rPr>
        <sz val="18"/>
        <color rgb="FFFF0000"/>
        <rFont val="ＭＳ Ｐゴシック"/>
        <family val="3"/>
        <charset val="128"/>
      </rPr>
      <t xml:space="preserve">補講日
</t>
    </r>
    <r>
      <rPr>
        <sz val="18"/>
        <color rgb="FF000000"/>
        <rFont val="ＭＳ Ｐゴシック"/>
        <family val="3"/>
        <charset val="128"/>
      </rPr>
      <t>企業見学会の事前説明会(２年)</t>
    </r>
  </si>
  <si>
    <t>防災リテラシー（防災マップ作成）</t>
    <phoneticPr fontId="19"/>
  </si>
  <si>
    <r>
      <rPr>
        <sz val="18"/>
        <color rgb="FFFF0000"/>
        <rFont val="ＭＳ Ｐゴシック"/>
        <family val="3"/>
        <charset val="128"/>
      </rPr>
      <t xml:space="preserve">
</t>
    </r>
    <r>
      <rPr>
        <sz val="18"/>
        <color rgb="FF00B0F0"/>
        <rFont val="ＭＳ Ｐゴシック"/>
        <family val="3"/>
        <charset val="128"/>
      </rPr>
      <t xml:space="preserve">補講日(実験実習優先)
</t>
    </r>
    <phoneticPr fontId="19"/>
  </si>
  <si>
    <t>火11</t>
    <rPh sb="0" eb="1">
      <t>ヒ</t>
    </rPh>
    <phoneticPr fontId="19"/>
  </si>
  <si>
    <r>
      <rPr>
        <sz val="18"/>
        <color rgb="FFFF0000"/>
        <rFont val="ＭＳ Ｐゴシック"/>
        <family val="3"/>
        <charset val="128"/>
      </rPr>
      <t>補講日
※</t>
    </r>
    <r>
      <rPr>
        <sz val="18"/>
        <color rgb="FF000000"/>
        <rFont val="ＭＳ Ｐゴシック"/>
        <family val="3"/>
        <charset val="128"/>
      </rPr>
      <t>宿泊オリエンテーション振替</t>
    </r>
    <r>
      <rPr>
        <sz val="18"/>
        <color rgb="FFFF0000"/>
        <rFont val="ＭＳ Ｐゴシック"/>
        <family val="3"/>
        <charset val="128"/>
      </rPr>
      <t>(1年木曜授業)</t>
    </r>
  </si>
  <si>
    <r>
      <rPr>
        <sz val="18"/>
        <color rgb="FF000000"/>
        <rFont val="ＭＳ Ｐゴシック"/>
        <family val="3"/>
        <charset val="128"/>
      </rPr>
      <t xml:space="preserve">□
</t>
    </r>
    <r>
      <rPr>
        <sz val="18"/>
        <color rgb="FF00B0F0"/>
        <rFont val="ＭＳ Ｐゴシック"/>
        <family val="3"/>
        <charset val="128"/>
      </rPr>
      <t xml:space="preserve">補講日(実験実習優先)
</t>
    </r>
    <r>
      <rPr>
        <b/>
        <sz val="18"/>
        <color rgb="FFFF0000"/>
        <rFont val="ＭＳ Ｐゴシック"/>
        <family val="3"/>
        <charset val="128"/>
      </rPr>
      <t>企業経営者による特別講義（午前：4年生）予定</t>
    </r>
  </si>
  <si>
    <t xml:space="preserve">□
</t>
    <phoneticPr fontId="19"/>
  </si>
  <si>
    <r>
      <rPr>
        <sz val="18"/>
        <color rgb="FFFF0000"/>
        <rFont val="ＭＳ Ｐゴシック"/>
        <family val="3"/>
        <charset val="128"/>
      </rPr>
      <t>補講日</t>
    </r>
    <r>
      <rPr>
        <sz val="18"/>
        <color rgb="FF000000"/>
        <rFont val="ＭＳ Ｐゴシック"/>
        <family val="3"/>
        <charset val="128"/>
      </rPr>
      <t xml:space="preserve"> ※宿泊オリエンテーション振替(</t>
    </r>
    <r>
      <rPr>
        <sz val="18"/>
        <color rgb="FFFF0000"/>
        <rFont val="ＭＳ Ｐゴシック"/>
        <family val="3"/>
        <charset val="128"/>
      </rPr>
      <t>1年金曜授業</t>
    </r>
    <r>
      <rPr>
        <sz val="18"/>
        <color rgb="FF000000"/>
        <rFont val="ＭＳ Ｐゴシック"/>
        <family val="3"/>
        <charset val="128"/>
      </rPr>
      <t>)</t>
    </r>
  </si>
  <si>
    <t>補講日(実験実習優先)　　　</t>
    <phoneticPr fontId="19"/>
  </si>
  <si>
    <t>昭和の日</t>
  </si>
  <si>
    <r>
      <t xml:space="preserve">補講日(実験実習優先)
前期終了　　　　　　　　　　
</t>
    </r>
    <r>
      <rPr>
        <sz val="18"/>
        <color rgb="FFFF0000"/>
        <rFont val="ＭＳ Ｐゴシック"/>
        <family val="3"/>
        <charset val="128"/>
      </rPr>
      <t xml:space="preserve">成績確認票提出締切予定
</t>
    </r>
    <r>
      <rPr>
        <sz val="18"/>
        <color rgb="FF000000"/>
        <rFont val="ＭＳ Ｐゴシック"/>
        <family val="3"/>
        <charset val="128"/>
      </rPr>
      <t>人権フィールドワーク（全学年対象・希望者制）</t>
    </r>
    <phoneticPr fontId="19"/>
  </si>
  <si>
    <t>インターンシップ終了（9月末日まで）前期終了 　　　　
インターンシップ報告会　　（午後）</t>
    <rPh sb="36" eb="38">
      <t>ホウコク</t>
    </rPh>
    <rPh sb="38" eb="39">
      <t>カイ</t>
    </rPh>
    <rPh sb="42" eb="44">
      <t>ゴゴ</t>
    </rPh>
    <phoneticPr fontId="19"/>
  </si>
  <si>
    <t>保護者懇談会終了
教科担当者会議(2年)
公開授業終了</t>
    <rPh sb="0" eb="3">
      <t>ホゴシャ</t>
    </rPh>
    <rPh sb="3" eb="6">
      <t>コ</t>
    </rPh>
    <rPh sb="6" eb="8">
      <t>シュウリョウ</t>
    </rPh>
    <phoneticPr fontId="19"/>
  </si>
  <si>
    <t>公開授業終了</t>
    <phoneticPr fontId="19"/>
  </si>
  <si>
    <t>□
企業見学会の説明会(2年)</t>
  </si>
  <si>
    <t>月15</t>
    <rPh sb="0" eb="1">
      <t>ゲツ</t>
    </rPh>
    <phoneticPr fontId="19"/>
  </si>
  <si>
    <t>後期開始</t>
    <rPh sb="0" eb="2">
      <t>コウキ</t>
    </rPh>
    <rPh sb="2" eb="4">
      <t>カイシ</t>
    </rPh>
    <phoneticPr fontId="19"/>
  </si>
  <si>
    <r>
      <rPr>
        <sz val="18"/>
        <color rgb="FF000000"/>
        <rFont val="ＭＳ Ｐゴシック"/>
        <family val="3"/>
        <charset val="128"/>
      </rPr>
      <t>■</t>
    </r>
    <r>
      <rPr>
        <sz val="18"/>
        <color rgb="FFFF0000"/>
        <rFont val="ＭＳ Ｐゴシック"/>
        <family val="3"/>
        <charset val="128"/>
      </rPr>
      <t>◆高専教授会</t>
    </r>
  </si>
  <si>
    <t>元旦</t>
  </si>
  <si>
    <r>
      <t xml:space="preserve">補講日　　　　　　　　
</t>
    </r>
    <r>
      <rPr>
        <sz val="18"/>
        <rFont val="ＭＳ Ｐゴシック"/>
        <family val="3"/>
        <charset val="128"/>
        <scheme val="minor"/>
      </rPr>
      <t>学生と企業が共に考えるインターンシップ説明会（午前：3年生）予定</t>
    </r>
    <r>
      <rPr>
        <sz val="18"/>
        <color rgb="FFFF0000"/>
        <rFont val="ＭＳ Ｐゴシック"/>
        <family val="3"/>
        <charset val="128"/>
        <scheme val="minor"/>
      </rPr>
      <t xml:space="preserve">
</t>
    </r>
    <r>
      <rPr>
        <sz val="18"/>
        <rFont val="ＭＳ Ｐゴシック"/>
        <family val="3"/>
        <charset val="128"/>
        <scheme val="minor"/>
      </rPr>
      <t>成績確認票提出締切（1-4年）予定</t>
    </r>
    <phoneticPr fontId="19"/>
  </si>
  <si>
    <r>
      <rPr>
        <sz val="18"/>
        <color rgb="FF000000"/>
        <rFont val="ＭＳ Ｐゴシック"/>
        <family val="3"/>
        <charset val="128"/>
      </rPr>
      <t xml:space="preserve">●
</t>
    </r>
    <r>
      <rPr>
        <sz val="18"/>
        <color rgb="FFFF0000"/>
        <rFont val="ＭＳ Ｐゴシック"/>
        <family val="3"/>
        <charset val="128"/>
      </rPr>
      <t xml:space="preserve">【午前】木曜授業
</t>
    </r>
    <r>
      <rPr>
        <sz val="18"/>
        <color rgb="FF000000"/>
        <rFont val="ＭＳ Ｐゴシック"/>
        <family val="3"/>
        <charset val="128"/>
      </rPr>
      <t>【午後】高専祭準備</t>
    </r>
  </si>
  <si>
    <r>
      <rPr>
        <sz val="18"/>
        <color rgb="FFFF0000"/>
        <rFont val="ＭＳ Ｐゴシック"/>
        <family val="3"/>
        <charset val="128"/>
        <scheme val="minor"/>
      </rPr>
      <t>【午前】木曜授業</t>
    </r>
    <r>
      <rPr>
        <sz val="18"/>
        <rFont val="ＭＳ Ｐゴシック"/>
        <family val="3"/>
        <charset val="128"/>
        <scheme val="minor"/>
      </rPr>
      <t xml:space="preserve">
【午後】高専祭準備</t>
    </r>
    <rPh sb="4" eb="5">
      <t>モク</t>
    </rPh>
    <phoneticPr fontId="19"/>
  </si>
  <si>
    <t>元旦振替</t>
    <rPh sb="2" eb="4">
      <t>フリカエ</t>
    </rPh>
    <phoneticPr fontId="19"/>
  </si>
  <si>
    <t>学校による学位授与書類発送および電子申請(未定)</t>
  </si>
  <si>
    <t>文化の日
高専祭準備</t>
    <rPh sb="5" eb="8">
      <t>コウセンサイ</t>
    </rPh>
    <rPh sb="8" eb="10">
      <t>ジュンビ</t>
    </rPh>
    <phoneticPr fontId="19"/>
  </si>
  <si>
    <t>文化の日
高専祭準備</t>
    <rPh sb="0" eb="2">
      <t>ブンカ</t>
    </rPh>
    <rPh sb="3" eb="4">
      <t>ヒ</t>
    </rPh>
    <rPh sb="5" eb="8">
      <t>コウセンサイ</t>
    </rPh>
    <rPh sb="8" eb="10">
      <t>ジュンビ</t>
    </rPh>
    <phoneticPr fontId="19"/>
  </si>
  <si>
    <t>年末年始休暇</t>
    <rPh sb="0" eb="2">
      <t>ネンマツ</t>
    </rPh>
    <rPh sb="2" eb="4">
      <t>ネンシ</t>
    </rPh>
    <rPh sb="4" eb="6">
      <t>キュウカ</t>
    </rPh>
    <phoneticPr fontId="19"/>
  </si>
  <si>
    <t>補講日</t>
    <rPh sb="0" eb="2">
      <t>ホコウ</t>
    </rPh>
    <rPh sb="2" eb="3">
      <t>ビ</t>
    </rPh>
    <phoneticPr fontId="19"/>
  </si>
  <si>
    <t>高専祭△</t>
    <phoneticPr fontId="19"/>
  </si>
  <si>
    <t>後期中間試験③</t>
    <phoneticPr fontId="19"/>
  </si>
  <si>
    <r>
      <rPr>
        <sz val="18"/>
        <rFont val="ＭＳ Ｐゴシック"/>
        <family val="3"/>
        <charset val="128"/>
        <scheme val="minor"/>
      </rPr>
      <t>就職面接説明会</t>
    </r>
    <r>
      <rPr>
        <sz val="18"/>
        <color rgb="FFFF0000"/>
        <rFont val="ＭＳ Ｐゴシック"/>
        <family val="3"/>
        <charset val="128"/>
        <scheme val="minor"/>
      </rPr>
      <t xml:space="preserve">
</t>
    </r>
    <phoneticPr fontId="19"/>
  </si>
  <si>
    <t>就職面接説明会</t>
    <phoneticPr fontId="19"/>
  </si>
  <si>
    <t>●</t>
  </si>
  <si>
    <r>
      <t>■</t>
    </r>
    <r>
      <rPr>
        <sz val="18"/>
        <color rgb="FFFF0000"/>
        <rFont val="ＭＳ Ｐゴシック"/>
        <family val="3"/>
        <charset val="128"/>
        <scheme val="minor"/>
      </rPr>
      <t>◆高専教授会</t>
    </r>
    <r>
      <rPr>
        <sz val="18"/>
        <rFont val="ＭＳ Ｐゴシック"/>
        <family val="3"/>
        <charset val="128"/>
        <scheme val="minor"/>
      </rPr>
      <t xml:space="preserve">
後期中間試験④</t>
    </r>
    <phoneticPr fontId="19"/>
  </si>
  <si>
    <t>補講日</t>
    <phoneticPr fontId="19"/>
  </si>
  <si>
    <t>専攻科授業（月15）</t>
    <rPh sb="6" eb="7">
      <t>ゲツ</t>
    </rPh>
    <phoneticPr fontId="19"/>
  </si>
  <si>
    <t>修了認定会議（5年）</t>
    <phoneticPr fontId="19"/>
  </si>
  <si>
    <r>
      <rPr>
        <sz val="16"/>
        <color rgb="FFFF0000"/>
        <rFont val="ＭＳ Ｐゴシック"/>
        <family val="2"/>
        <charset val="128"/>
      </rPr>
      <t>木</t>
    </r>
    <r>
      <rPr>
        <sz val="16"/>
        <color rgb="FFFF0000"/>
        <rFont val="Arial"/>
        <family val="2"/>
      </rPr>
      <t>5</t>
    </r>
    <rPh sb="0" eb="1">
      <t>モク</t>
    </rPh>
    <phoneticPr fontId="19"/>
  </si>
  <si>
    <r>
      <t xml:space="preserve">【午前】高専祭後片付け
</t>
    </r>
    <r>
      <rPr>
        <sz val="18"/>
        <color rgb="FFFF0000"/>
        <rFont val="ＭＳ Ｐゴシック"/>
        <family val="3"/>
        <charset val="128"/>
        <scheme val="minor"/>
      </rPr>
      <t>【午後】木曜授業</t>
    </r>
    <rPh sb="16" eb="17">
      <t>モク</t>
    </rPh>
    <phoneticPr fontId="19"/>
  </si>
  <si>
    <t>●
後期中間試験⑤
人権教育講演会（1年）
消費者教育講演会(2年)</t>
    <phoneticPr fontId="19"/>
  </si>
  <si>
    <t>高専祭代休△</t>
    <phoneticPr fontId="19"/>
  </si>
  <si>
    <t>11/3代休</t>
    <rPh sb="4" eb="6">
      <t>ダイキュウ</t>
    </rPh>
    <phoneticPr fontId="19"/>
  </si>
  <si>
    <r>
      <rPr>
        <sz val="18"/>
        <rFont val="ＭＳ Ｐゴシック"/>
        <family val="3"/>
        <charset val="128"/>
        <scheme val="minor"/>
      </rPr>
      <t>■</t>
    </r>
    <r>
      <rPr>
        <sz val="18"/>
        <color rgb="FFFF0000"/>
        <rFont val="ＭＳ Ｐゴシック"/>
        <family val="3"/>
        <charset val="128"/>
        <scheme val="minor"/>
      </rPr>
      <t>◆高専教授会
補講日</t>
    </r>
    <rPh sb="8" eb="11">
      <t>ホコウビ</t>
    </rPh>
    <phoneticPr fontId="19"/>
  </si>
  <si>
    <t>工学基礎研究発表会
工学基礎研究判定会議(1年)
工学特別ゼミナール判定会議(1年)</t>
    <phoneticPr fontId="19"/>
  </si>
  <si>
    <t>高専ロボコン近畿大会（神戸）</t>
  </si>
  <si>
    <r>
      <rPr>
        <sz val="18"/>
        <color rgb="FFFF0000"/>
        <rFont val="ＭＳ Ｐゴシック"/>
        <family val="3"/>
        <charset val="128"/>
        <scheme val="minor"/>
      </rPr>
      <t>成人の日</t>
    </r>
    <r>
      <rPr>
        <sz val="18"/>
        <rFont val="ＭＳ Ｐゴシック"/>
        <family val="3"/>
        <charset val="128"/>
        <scheme val="minor"/>
      </rPr>
      <t xml:space="preserve">
冬季休業終了</t>
    </r>
    <phoneticPr fontId="19"/>
  </si>
  <si>
    <t>●
学年末試験①</t>
    <phoneticPr fontId="19"/>
  </si>
  <si>
    <t>後期試験
工学特別研究判定会議(2年）
工学特別ゼミナール判定会議(2年)</t>
  </si>
  <si>
    <t>修了認定会議（1-4年）</t>
    <phoneticPr fontId="19"/>
  </si>
  <si>
    <t>スポーツの日</t>
    <phoneticPr fontId="19"/>
  </si>
  <si>
    <t>※全館停電　候補日</t>
    <phoneticPr fontId="19"/>
  </si>
  <si>
    <t>第２回進路対策会議</t>
    <phoneticPr fontId="19"/>
  </si>
  <si>
    <t>学年末試験②（午前中のみ）</t>
    <phoneticPr fontId="19"/>
  </si>
  <si>
    <t>後期試験（午前中のみ）</t>
  </si>
  <si>
    <r>
      <t>■</t>
    </r>
    <r>
      <rPr>
        <sz val="18"/>
        <color rgb="FFFF0000"/>
        <rFont val="ＭＳ Ｐゴシック"/>
        <family val="3"/>
        <charset val="128"/>
        <scheme val="minor"/>
      </rPr>
      <t>◆高専教授会</t>
    </r>
    <r>
      <rPr>
        <sz val="18"/>
        <rFont val="ＭＳ Ｐゴシック"/>
        <family val="3"/>
        <charset val="128"/>
        <scheme val="minor"/>
      </rPr>
      <t xml:space="preserve">
学生総会(7限目)</t>
    </r>
    <rPh sb="8" eb="10">
      <t>ガクセイ</t>
    </rPh>
    <rPh sb="10" eb="12">
      <t>ソウカイ</t>
    </rPh>
    <rPh sb="14" eb="16">
      <t>ゲンメ</t>
    </rPh>
    <phoneticPr fontId="19"/>
  </si>
  <si>
    <t>学生総会(7限目)</t>
    <rPh sb="0" eb="2">
      <t>ガクセイ</t>
    </rPh>
    <rPh sb="2" eb="4">
      <t>ソウカイ</t>
    </rPh>
    <rPh sb="6" eb="8">
      <t>ゲンメ</t>
    </rPh>
    <phoneticPr fontId="19"/>
  </si>
  <si>
    <t>※学生登校禁止</t>
    <phoneticPr fontId="19"/>
  </si>
  <si>
    <t>教科担当者会議(1年)
高専スタートアップ教育講座</t>
    <rPh sb="0" eb="4">
      <t>キョウカ</t>
    </rPh>
    <rPh sb="4" eb="5">
      <t>シャ</t>
    </rPh>
    <rPh sb="5" eb="7">
      <t>カイギ</t>
    </rPh>
    <rPh sb="9" eb="10">
      <t>ネン</t>
    </rPh>
    <phoneticPr fontId="19"/>
  </si>
  <si>
    <t>全国高専デザコン（1日目）</t>
  </si>
  <si>
    <r>
      <rPr>
        <sz val="18"/>
        <color rgb="FFFF0000"/>
        <rFont val="ＭＳ Ｐゴシック"/>
        <family val="3"/>
        <charset val="128"/>
        <scheme val="minor"/>
      </rPr>
      <t>建国記念の日</t>
    </r>
    <r>
      <rPr>
        <sz val="18"/>
        <rFont val="ＭＳ Ｐゴシック"/>
        <family val="3"/>
        <charset val="128"/>
        <scheme val="minor"/>
      </rPr>
      <t xml:space="preserve">
本科入学試験（学力選抜）
※学生登校禁止</t>
    </r>
    <phoneticPr fontId="19"/>
  </si>
  <si>
    <t>入学予定者登校日</t>
    <phoneticPr fontId="19"/>
  </si>
  <si>
    <t>教科担当者会議(2年)
教職員特殊歯科検診（2回目）</t>
    <phoneticPr fontId="19"/>
  </si>
  <si>
    <t>全国高専デザコン（2日目）</t>
  </si>
  <si>
    <r>
      <t xml:space="preserve">振替休日
</t>
    </r>
    <r>
      <rPr>
        <sz val="18"/>
        <rFont val="ＭＳ Ｐゴシック"/>
        <family val="3"/>
        <charset val="128"/>
        <scheme val="minor"/>
      </rPr>
      <t>入試処理日△
※学生登校禁止</t>
    </r>
    <rPh sb="0" eb="2">
      <t>フリカエ</t>
    </rPh>
    <rPh sb="2" eb="4">
      <t>キュウジツ</t>
    </rPh>
    <phoneticPr fontId="19"/>
  </si>
  <si>
    <t xml:space="preserve">中学校向け入試説明会(本校)
</t>
    <phoneticPr fontId="19"/>
  </si>
  <si>
    <t>○
大掃除
コースガイダンス(1年・HR)
喫煙防止教室（3年）</t>
  </si>
  <si>
    <t xml:space="preserve">学年末試験③
</t>
    <phoneticPr fontId="19"/>
  </si>
  <si>
    <t>後期試験
成績確認票提出締切（2年）予定　</t>
    <phoneticPr fontId="19"/>
  </si>
  <si>
    <r>
      <rPr>
        <sz val="18"/>
        <color rgb="FF00B050"/>
        <rFont val="ＭＳ Ｐゴシック"/>
        <family val="3"/>
        <charset val="128"/>
      </rPr>
      <t xml:space="preserve">第3回学校説明会
</t>
    </r>
    <r>
      <rPr>
        <sz val="18"/>
        <color rgb="FF000000"/>
        <rFont val="ＭＳ Ｐゴシック"/>
        <family val="3"/>
        <charset val="128"/>
      </rPr>
      <t>全国高専プロコン(1日目，福井)</t>
    </r>
    <r>
      <rPr>
        <sz val="18"/>
        <color rgb="FF00B050"/>
        <rFont val="ＭＳ Ｐゴシック"/>
        <family val="3"/>
        <charset val="128"/>
      </rPr>
      <t>　　　　　　</t>
    </r>
    <phoneticPr fontId="19"/>
  </si>
  <si>
    <t>第3回学校説明会　　　　　</t>
    <phoneticPr fontId="19"/>
  </si>
  <si>
    <t>成績確認票提出締切予定</t>
    <rPh sb="0" eb="2">
      <t>セイセキ</t>
    </rPh>
    <rPh sb="2" eb="4">
      <t>カクニン</t>
    </rPh>
    <rPh sb="4" eb="5">
      <t>ヒョウ</t>
    </rPh>
    <rPh sb="5" eb="7">
      <t>テイシュツ</t>
    </rPh>
    <rPh sb="7" eb="9">
      <t>シメキリ</t>
    </rPh>
    <rPh sb="9" eb="11">
      <t>ヨテイ</t>
    </rPh>
    <phoneticPr fontId="19"/>
  </si>
  <si>
    <t>学年末試験④</t>
    <phoneticPr fontId="19"/>
  </si>
  <si>
    <t>後期試験</t>
  </si>
  <si>
    <t>終業式△</t>
    <phoneticPr fontId="19"/>
  </si>
  <si>
    <t>全国高専プロコン(2日目，福井)</t>
  </si>
  <si>
    <t>○
セクシュアリティ教育（3年）</t>
  </si>
  <si>
    <t>公開授業開始(教職員対象)</t>
    <rPh sb="0" eb="4">
      <t>コウカイ</t>
    </rPh>
    <rPh sb="4" eb="6">
      <t>カイシ</t>
    </rPh>
    <rPh sb="7" eb="12">
      <t>キョウショ</t>
    </rPh>
    <phoneticPr fontId="19"/>
  </si>
  <si>
    <t>公開授業開始(教職員対象)　　　　　　　　　　　　　　　工学特別研究発表会（A,C)</t>
    <phoneticPr fontId="19"/>
  </si>
  <si>
    <t>卒業式△</t>
    <phoneticPr fontId="19"/>
  </si>
  <si>
    <t>修了式△</t>
    <rPh sb="0" eb="3">
      <t>シュウリョウシキ</t>
    </rPh>
    <phoneticPr fontId="19"/>
  </si>
  <si>
    <t>教科担当者会議(3年)</t>
    <rPh sb="0" eb="4">
      <t>キョウカ</t>
    </rPh>
    <rPh sb="4" eb="5">
      <t>シャ</t>
    </rPh>
    <rPh sb="5" eb="7">
      <t>カイギ</t>
    </rPh>
    <rPh sb="9" eb="10">
      <t>ネン</t>
    </rPh>
    <phoneticPr fontId="19"/>
  </si>
  <si>
    <t>学年末試験⑥
人権教育講演会＆ワークショップ （2年）</t>
  </si>
  <si>
    <t>○
サイバー犯罪防止教室（3年）</t>
    <phoneticPr fontId="19"/>
  </si>
  <si>
    <t>断水日　候補①</t>
    <phoneticPr fontId="19"/>
  </si>
  <si>
    <t>○
企業勉強会(5年)</t>
  </si>
  <si>
    <t>第4回学校説明会</t>
  </si>
  <si>
    <t>教員関連携週間開始
企業研究セミナー</t>
    <phoneticPr fontId="19"/>
  </si>
  <si>
    <t>断水日　候補①</t>
  </si>
  <si>
    <t>学年末休業開始</t>
    <phoneticPr fontId="19"/>
  </si>
  <si>
    <t>中学校向け入試説明会(I-siteなんば)</t>
    <phoneticPr fontId="19"/>
  </si>
  <si>
    <t>成績表配布(予定)
企業研究セミナー
思春期講演会（１年）</t>
    <phoneticPr fontId="19"/>
  </si>
  <si>
    <t>工学特別研究発表会（M,E)
企業研究セミナー</t>
    <phoneticPr fontId="19"/>
  </si>
  <si>
    <t>本科入試準備日△　　　　＊学生登校禁止</t>
    <phoneticPr fontId="19"/>
  </si>
  <si>
    <t>本科入試準備日△　　　　　＊学生登校禁止</t>
    <phoneticPr fontId="19"/>
  </si>
  <si>
    <t xml:space="preserve">学年末試験（予備日）
</t>
    <rPh sb="0" eb="2">
      <t>ガクネン</t>
    </rPh>
    <rPh sb="2" eb="3">
      <t>マツ</t>
    </rPh>
    <rPh sb="3" eb="5">
      <t>シケン</t>
    </rPh>
    <rPh sb="6" eb="9">
      <t>ヨビビ</t>
    </rPh>
    <phoneticPr fontId="19"/>
  </si>
  <si>
    <t>成績確認票提出締切（1年）予定</t>
    <phoneticPr fontId="19"/>
  </si>
  <si>
    <t>□
コースガイダンス（1年・HR）喫煙防止教室(2年)</t>
  </si>
  <si>
    <t>本科入学試験（特別選抜）＊学生登校禁止</t>
  </si>
  <si>
    <t>本科入学試験（特別選抜）＊学生登校禁止</t>
    <phoneticPr fontId="19"/>
  </si>
  <si>
    <t>春分の日</t>
    <phoneticPr fontId="19"/>
  </si>
  <si>
    <t>公開授業終了(教職員対象)</t>
    <rPh sb="0" eb="4">
      <t>コウカイ</t>
    </rPh>
    <rPh sb="4" eb="6">
      <t>シュウリョウ</t>
    </rPh>
    <rPh sb="7" eb="12">
      <t>キョウショ</t>
    </rPh>
    <phoneticPr fontId="19"/>
  </si>
  <si>
    <t>本科入試処理日　　　　　　　＊学生登校禁止</t>
    <phoneticPr fontId="19"/>
  </si>
  <si>
    <t>本科入試処理日            ＊学生登校禁止</t>
    <phoneticPr fontId="19"/>
  </si>
  <si>
    <t>○
授業日（試験返却）</t>
    <phoneticPr fontId="19"/>
  </si>
  <si>
    <t>創立記念日△</t>
    <phoneticPr fontId="19"/>
  </si>
  <si>
    <t>教員関連携週間終了</t>
    <rPh sb="7" eb="9">
      <t>シュウリョウ</t>
    </rPh>
    <phoneticPr fontId="19"/>
  </si>
  <si>
    <t>授業日(試験返却)</t>
    <phoneticPr fontId="19"/>
  </si>
  <si>
    <t>勤労感謝の日</t>
  </si>
  <si>
    <r>
      <t xml:space="preserve">天皇誕生日
</t>
    </r>
    <r>
      <rPr>
        <sz val="18"/>
        <rFont val="ＭＳ Ｐゴシック"/>
        <family val="3"/>
        <charset val="128"/>
        <scheme val="minor"/>
      </rPr>
      <t>※学生登校禁止</t>
    </r>
    <rPh sb="7" eb="9">
      <t>ガクセイ</t>
    </rPh>
    <rPh sb="9" eb="11">
      <t>トウコウ</t>
    </rPh>
    <rPh sb="11" eb="13">
      <t>キンシ</t>
    </rPh>
    <phoneticPr fontId="19"/>
  </si>
  <si>
    <r>
      <t xml:space="preserve">天皇誕生日
</t>
    </r>
    <r>
      <rPr>
        <sz val="18"/>
        <rFont val="ＭＳ Ｐゴシック"/>
        <family val="3"/>
        <charset val="128"/>
        <scheme val="minor"/>
      </rPr>
      <t>※学生登校禁止</t>
    </r>
    <phoneticPr fontId="19"/>
  </si>
  <si>
    <t>第１回進路対策会議</t>
  </si>
  <si>
    <t>第2回教職員特殊健康診断
企業研究セミナーの事前説明会</t>
  </si>
  <si>
    <t>特殊健康診断</t>
  </si>
  <si>
    <t>□
企業勉強会(4年)</t>
  </si>
  <si>
    <t>※学生登校禁止</t>
  </si>
  <si>
    <t>□
進学ガイダンス(3年希望者)</t>
    <phoneticPr fontId="19"/>
  </si>
  <si>
    <t>本科入学試験（学力選抜追試験）※学生登校禁止</t>
  </si>
  <si>
    <t>高専ロボコン全国大会</t>
  </si>
  <si>
    <t>冬期休業開始</t>
  </si>
  <si>
    <t>修了認定会議</t>
  </si>
  <si>
    <t>新旧合同担任会議
インターンシップ担当者会議</t>
  </si>
  <si>
    <t>金15</t>
    <rPh sb="0" eb="1">
      <t>キン</t>
    </rPh>
    <phoneticPr fontId="19"/>
  </si>
  <si>
    <r>
      <rPr>
        <sz val="18"/>
        <color rgb="FF0000FF"/>
        <rFont val="ＭＳ Ｐゴシック"/>
        <family val="3"/>
        <charset val="128"/>
        <scheme val="minor"/>
      </rPr>
      <t xml:space="preserve">□
</t>
    </r>
    <r>
      <rPr>
        <sz val="16"/>
        <color rgb="FF0000FF"/>
        <rFont val="ＭＳ Ｐゴシック"/>
        <family val="3"/>
        <charset val="128"/>
        <scheme val="minor"/>
      </rPr>
      <t xml:space="preserve">授業日（試験返却）
</t>
    </r>
    <r>
      <rPr>
        <sz val="16"/>
        <color rgb="FFFF0000"/>
        <rFont val="ＭＳ Ｐゴシック"/>
        <family val="3"/>
        <charset val="128"/>
        <scheme val="minor"/>
      </rPr>
      <t>金曜授業　　　　　　　　　　　　　　　成績確認票提出締切（5年）予定</t>
    </r>
    <rPh sb="12" eb="13">
      <t>キン</t>
    </rPh>
    <phoneticPr fontId="19"/>
  </si>
  <si>
    <t>□</t>
    <phoneticPr fontId="19"/>
  </si>
  <si>
    <t>補講日
【午前】特別研究発表会　（3年）</t>
    <phoneticPr fontId="19"/>
  </si>
  <si>
    <t>後期中間試験①</t>
    <phoneticPr fontId="19"/>
  </si>
  <si>
    <t>【本科学生用】</t>
    <rPh sb="1" eb="3">
      <t>ホンカ</t>
    </rPh>
    <rPh sb="3" eb="5">
      <t>ガクセイ</t>
    </rPh>
    <rPh sb="5" eb="6">
      <t>ヨウ</t>
    </rPh>
    <phoneticPr fontId="37"/>
  </si>
  <si>
    <t xml:space="preserve">大阪府立大学工業高等専門学校    
  △　：　全 日 休 講  
</t>
    <phoneticPr fontId="19"/>
  </si>
  <si>
    <t>年度　行事予定表</t>
    <rPh sb="0" eb="2">
      <t>ネンド</t>
    </rPh>
    <rPh sb="3" eb="5">
      <t>ギョウジ</t>
    </rPh>
    <rPh sb="5" eb="7">
      <t>ヨテイ</t>
    </rPh>
    <rPh sb="7" eb="8">
      <t>ヒョウ</t>
    </rPh>
    <phoneticPr fontId="37"/>
  </si>
  <si>
    <t>△　：　全 日 休 講</t>
    <phoneticPr fontId="19"/>
  </si>
  <si>
    <t>火</t>
    <phoneticPr fontId="19"/>
  </si>
  <si>
    <t xml:space="preserve">
春季休業開始
　　　　　　　</t>
    <phoneticPr fontId="19"/>
  </si>
  <si>
    <t>木</t>
    <phoneticPr fontId="19"/>
  </si>
  <si>
    <t>日</t>
    <phoneticPr fontId="19"/>
  </si>
  <si>
    <t>金</t>
    <phoneticPr fontId="19"/>
  </si>
  <si>
    <t xml:space="preserve">前期末試験③
</t>
    <phoneticPr fontId="19"/>
  </si>
  <si>
    <t>月</t>
    <phoneticPr fontId="19"/>
  </si>
  <si>
    <t>水</t>
    <phoneticPr fontId="19"/>
  </si>
  <si>
    <t>後期開始</t>
    <phoneticPr fontId="19"/>
  </si>
  <si>
    <t>土</t>
    <phoneticPr fontId="19"/>
  </si>
  <si>
    <t>後期中間試験②</t>
  </si>
  <si>
    <t>水</t>
  </si>
  <si>
    <t>金</t>
  </si>
  <si>
    <t>火曜授業</t>
    <rPh sb="0" eb="2">
      <t>カヨウ</t>
    </rPh>
    <rPh sb="2" eb="4">
      <t>ジュギョウ</t>
    </rPh>
    <phoneticPr fontId="19"/>
  </si>
  <si>
    <t xml:space="preserve">薬物乱用防止教室(2年)
</t>
    <phoneticPr fontId="19"/>
  </si>
  <si>
    <t>土</t>
  </si>
  <si>
    <t>火</t>
  </si>
  <si>
    <t>木</t>
  </si>
  <si>
    <t>日</t>
  </si>
  <si>
    <t>後期中間試験③</t>
  </si>
  <si>
    <r>
      <rPr>
        <sz val="18"/>
        <color rgb="FF00B0F0"/>
        <rFont val="ＭＳ Ｐゴシック"/>
        <family val="3"/>
        <charset val="128"/>
        <scheme val="minor"/>
      </rPr>
      <t>補講日</t>
    </r>
    <r>
      <rPr>
        <sz val="18"/>
        <color rgb="FFFF0000"/>
        <rFont val="ＭＳ Ｐゴシック"/>
        <family val="3"/>
        <charset val="128"/>
        <scheme val="minor"/>
      </rPr>
      <t xml:space="preserve">
</t>
    </r>
    <r>
      <rPr>
        <sz val="18"/>
        <rFont val="ＭＳ Ｐゴシック"/>
        <family val="3"/>
        <charset val="128"/>
        <scheme val="minor"/>
      </rPr>
      <t>インターンシップガイダンス（3年）
学生と企業が共に考えるインターンシップ説明会（午前：3年）</t>
    </r>
    <phoneticPr fontId="19"/>
  </si>
  <si>
    <t>文化の日</t>
  </si>
  <si>
    <t xml:space="preserve">後期中間試験④
</t>
    <phoneticPr fontId="19"/>
  </si>
  <si>
    <t>金曜授業</t>
  </si>
  <si>
    <r>
      <t xml:space="preserve">補講日
</t>
    </r>
    <r>
      <rPr>
        <sz val="16"/>
        <rFont val="ＭＳ Ｐゴシック"/>
        <family val="3"/>
        <charset val="128"/>
        <scheme val="minor"/>
      </rPr>
      <t>バッテリーキャリアパス紹介セミナー（3年生）HR時間（7時限目）</t>
    </r>
    <phoneticPr fontId="19"/>
  </si>
  <si>
    <t>前期末試験④</t>
  </si>
  <si>
    <t>後期中間試験⑤
人権教育講演会（1年）
消費者教育講演会(2年)</t>
    <phoneticPr fontId="19"/>
  </si>
  <si>
    <r>
      <rPr>
        <sz val="14"/>
        <color rgb="FF00B0F0"/>
        <rFont val="ＭＳ Ｐゴシック"/>
        <family val="3"/>
        <charset val="128"/>
        <scheme val="minor"/>
      </rPr>
      <t>補講日</t>
    </r>
    <r>
      <rPr>
        <sz val="14"/>
        <color rgb="FFFF0000"/>
        <rFont val="ＭＳ Ｐゴシック"/>
        <family val="3"/>
        <charset val="128"/>
        <scheme val="minor"/>
      </rPr>
      <t xml:space="preserve">
</t>
    </r>
    <r>
      <rPr>
        <sz val="14"/>
        <rFont val="ＭＳ Ｐゴシック"/>
        <family val="3"/>
        <charset val="128"/>
        <scheme val="minor"/>
      </rPr>
      <t>※1年木曜授業(宿泊オリテ振替)</t>
    </r>
    <r>
      <rPr>
        <sz val="14"/>
        <color rgb="FFFF0000"/>
        <rFont val="ＭＳ Ｐゴシック"/>
        <family val="3"/>
        <charset val="128"/>
        <scheme val="minor"/>
      </rPr>
      <t xml:space="preserve">
</t>
    </r>
    <r>
      <rPr>
        <sz val="14"/>
        <rFont val="ＭＳ Ｐゴシック"/>
        <family val="3"/>
        <charset val="128"/>
        <scheme val="minor"/>
      </rPr>
      <t>バッテリー講演：リサイクル（2年生5-6時限）</t>
    </r>
    <phoneticPr fontId="19"/>
  </si>
  <si>
    <t>前期末試験⑤</t>
  </si>
  <si>
    <t>振替休講日(10月13日振替)
（後期中間試験予備日）</t>
    <rPh sb="0" eb="2">
      <t>フリカエ</t>
    </rPh>
    <rPh sb="2" eb="4">
      <t>キュウコウ</t>
    </rPh>
    <rPh sb="4" eb="5">
      <t>ビ</t>
    </rPh>
    <rPh sb="8" eb="9">
      <t>ガツ</t>
    </rPh>
    <rPh sb="11" eb="12">
      <t>ヒ</t>
    </rPh>
    <rPh sb="12" eb="14">
      <t>フリカエ</t>
    </rPh>
    <phoneticPr fontId="19"/>
  </si>
  <si>
    <t>春季休業終了</t>
  </si>
  <si>
    <t>休日</t>
  </si>
  <si>
    <r>
      <rPr>
        <sz val="18"/>
        <color rgb="FF00B0F0"/>
        <rFont val="ＭＳ Ｐゴシック"/>
        <family val="3"/>
        <charset val="128"/>
        <scheme val="minor"/>
      </rPr>
      <t>補講日</t>
    </r>
    <r>
      <rPr>
        <sz val="18"/>
        <rFont val="ＭＳ Ｐゴシック"/>
        <family val="3"/>
        <charset val="128"/>
        <scheme val="minor"/>
      </rPr>
      <t xml:space="preserve">
※1～3年金曜授業
（宿泊オリテ・校外学習振替）</t>
    </r>
    <phoneticPr fontId="19"/>
  </si>
  <si>
    <t xml:space="preserve">前期末試験⑥
人権教育講演会（4年）
工学研究の最先端（集中講義）
</t>
    <phoneticPr fontId="19"/>
  </si>
  <si>
    <t>【午前】月曜授業
【午後】高専祭準備</t>
    <phoneticPr fontId="19"/>
  </si>
  <si>
    <t>学年末試験①（午前中のみ）</t>
    <phoneticPr fontId="19"/>
  </si>
  <si>
    <t>振替休講日(11月24日振替)</t>
    <phoneticPr fontId="19"/>
  </si>
  <si>
    <r>
      <rPr>
        <sz val="18"/>
        <color rgb="FF00B0F0"/>
        <rFont val="ＭＳ Ｐゴシック"/>
        <family val="3"/>
        <charset val="128"/>
        <scheme val="minor"/>
      </rPr>
      <t>前期末試験（予備日）</t>
    </r>
    <r>
      <rPr>
        <sz val="18"/>
        <color rgb="FF0070C0"/>
        <rFont val="ＭＳ Ｐゴシック"/>
        <family val="3"/>
        <charset val="128"/>
        <scheme val="minor"/>
      </rPr>
      <t xml:space="preserve">
</t>
    </r>
    <r>
      <rPr>
        <sz val="18"/>
        <rFont val="ＭＳ Ｐゴシック"/>
        <family val="3"/>
        <charset val="128"/>
        <scheme val="minor"/>
      </rPr>
      <t>工学研究の最先端（集中講義）</t>
    </r>
    <r>
      <rPr>
        <sz val="18"/>
        <color rgb="FF7030A0"/>
        <rFont val="ＭＳ Ｐゴシック"/>
        <family val="3"/>
        <charset val="128"/>
        <scheme val="minor"/>
      </rPr>
      <t xml:space="preserve">
</t>
    </r>
    <rPh sb="6" eb="9">
      <t>ヨビビ</t>
    </rPh>
    <phoneticPr fontId="19"/>
  </si>
  <si>
    <r>
      <t xml:space="preserve">冬季休業終了
</t>
    </r>
    <r>
      <rPr>
        <sz val="18"/>
        <color rgb="FF00B0F0"/>
        <rFont val="ＭＳ Ｐゴシック"/>
        <family val="3"/>
        <charset val="128"/>
        <scheme val="minor"/>
      </rPr>
      <t>補講日</t>
    </r>
    <rPh sb="7" eb="10">
      <t>ホコウビ</t>
    </rPh>
    <phoneticPr fontId="19"/>
  </si>
  <si>
    <t>※学生登校禁止△</t>
    <phoneticPr fontId="19"/>
  </si>
  <si>
    <t>各種身体検査
・尿検査1次1日目
・心電図検査（1年、4年次編入、要管理者のみ）
ガイダンス(1～3年)</t>
  </si>
  <si>
    <t>工学研究の最先端（集中講義）
インターンシップ開始
企業見学会開始（2年）</t>
  </si>
  <si>
    <t>4年次編入学試験
※学生登校禁止</t>
  </si>
  <si>
    <t>本科入学試験（学力選抜）
※学生登校禁止</t>
    <phoneticPr fontId="19"/>
  </si>
  <si>
    <t>貸与PCガイダンス（1年）
1～3年HR
ガイダンス(4・5年)
補講日（4・5年）</t>
  </si>
  <si>
    <t>前期中間試験①</t>
  </si>
  <si>
    <t xml:space="preserve">人権教育講演会（3年）
</t>
    <phoneticPr fontId="19"/>
  </si>
  <si>
    <t>夏季休業開始</t>
  </si>
  <si>
    <t>入試処理日
※学生登校禁止</t>
    <phoneticPr fontId="19"/>
  </si>
  <si>
    <t>前期授業開始
学内インターンシップ企業説明会予定（放課後：3・4・5年生）
内科・歯科検診(1年)
　</t>
    <phoneticPr fontId="19"/>
  </si>
  <si>
    <t>前期中間試験②　　　</t>
  </si>
  <si>
    <t>【午前】高専祭後片付け
【午後】月曜授業</t>
  </si>
  <si>
    <t>大掃除</t>
    <phoneticPr fontId="19"/>
  </si>
  <si>
    <t>学年末試験②</t>
  </si>
  <si>
    <t>LIB組立実習（3年生希望者　於：パナソニックエナジー守口校内実習室）</t>
    <phoneticPr fontId="19"/>
  </si>
  <si>
    <t>4年次編入学試験（予備日）
インターンシップ終了
企業見学会終了（2年）
SAJ アイデアソン開催日</t>
    <phoneticPr fontId="19"/>
  </si>
  <si>
    <t>バッテリー講演（1年生7-8時限）</t>
    <phoneticPr fontId="19"/>
  </si>
  <si>
    <t>学年末試験③</t>
  </si>
  <si>
    <t>終業式△</t>
  </si>
  <si>
    <t>前期中間試験⑤
午後水曜授業(1～3年)
自転車安全講習会(1年)</t>
  </si>
  <si>
    <r>
      <rPr>
        <sz val="18"/>
        <color rgb="FF00B0F0"/>
        <rFont val="ＭＳ Ｐゴシック"/>
        <family val="3"/>
        <charset val="128"/>
        <scheme val="minor"/>
      </rPr>
      <t>月曜授業(授業実施日)</t>
    </r>
    <r>
      <rPr>
        <sz val="18"/>
        <color rgb="FFFF0000"/>
        <rFont val="ＭＳ Ｐゴシック"/>
        <family val="3"/>
        <charset val="128"/>
        <scheme val="minor"/>
      </rPr>
      <t xml:space="preserve">
（スポーツの日）</t>
    </r>
    <rPh sb="0" eb="2">
      <t>ゲツヨウ</t>
    </rPh>
    <rPh sb="2" eb="4">
      <t>ジュギョウ</t>
    </rPh>
    <rPh sb="5" eb="7">
      <t>ジュギョウ</t>
    </rPh>
    <rPh sb="7" eb="10">
      <t>ジッシビ</t>
    </rPh>
    <phoneticPr fontId="19"/>
  </si>
  <si>
    <t>学年末試験④</t>
  </si>
  <si>
    <t>人権教育講演会（2年）</t>
    <phoneticPr fontId="19"/>
  </si>
  <si>
    <t>前期中間試験予備日</t>
    <rPh sb="0" eb="2">
      <t>ゼンキ</t>
    </rPh>
    <phoneticPr fontId="19"/>
  </si>
  <si>
    <t>夏季休業終了</t>
  </si>
  <si>
    <t>学生総会(7限目)</t>
    <phoneticPr fontId="19"/>
  </si>
  <si>
    <t>尿検査1次2日目</t>
  </si>
  <si>
    <t xml:space="preserve">
内科・歯科検診（2・4年）</t>
    <phoneticPr fontId="19"/>
  </si>
  <si>
    <t>企業勉強会(5年)</t>
    <phoneticPr fontId="19"/>
  </si>
  <si>
    <t>企業研究セミナー</t>
  </si>
  <si>
    <t>本科入学試験（学力選抜追試験）
※学生登校禁止</t>
    <phoneticPr fontId="19"/>
  </si>
  <si>
    <t>着こなし方講座
海外インターンシップ説明会(4年)</t>
    <phoneticPr fontId="19"/>
  </si>
  <si>
    <t>尿検査2次2日目（尿検査最終回）</t>
  </si>
  <si>
    <t xml:space="preserve">
インターンシップ事前教育
(4年)
</t>
    <phoneticPr fontId="19"/>
  </si>
  <si>
    <t>授業日（試験返却）
応用専門概論起業家卒業生講演</t>
    <phoneticPr fontId="19"/>
  </si>
  <si>
    <t>避難訓練</t>
  </si>
  <si>
    <t>本科入試準備日△　　　　
※学生登校禁止</t>
  </si>
  <si>
    <t>学年末試験⑤</t>
  </si>
  <si>
    <t>内科・歯科検診（3・5年）</t>
    <phoneticPr fontId="19"/>
  </si>
  <si>
    <t>授業日（試験返却）</t>
  </si>
  <si>
    <t>コースガイダンス（1年）
喫煙防止教室(2年)</t>
    <phoneticPr fontId="19"/>
  </si>
  <si>
    <t>本科入学試験（特別選抜）
※学生登校禁止</t>
  </si>
  <si>
    <r>
      <t>学年末試験⑥</t>
    </r>
    <r>
      <rPr>
        <sz val="18"/>
        <color rgb="FF0070C0"/>
        <rFont val="ＭＳ Ｐゴシック"/>
        <family val="3"/>
        <charset val="128"/>
        <scheme val="minor"/>
      </rPr>
      <t xml:space="preserve">
</t>
    </r>
    <r>
      <rPr>
        <sz val="18"/>
        <color rgb="FF00B0F0"/>
        <rFont val="ＭＳ Ｐゴシック"/>
        <family val="3"/>
        <charset val="128"/>
        <scheme val="minor"/>
      </rPr>
      <t>補講日（午後）</t>
    </r>
    <r>
      <rPr>
        <sz val="18"/>
        <color rgb="FFFF0000"/>
        <rFont val="ＭＳ Ｐゴシック"/>
        <family val="3"/>
        <charset val="128"/>
        <scheme val="minor"/>
      </rPr>
      <t xml:space="preserve">
</t>
    </r>
    <r>
      <rPr>
        <sz val="18"/>
        <rFont val="ＭＳ Ｐゴシック"/>
        <family val="3"/>
        <charset val="128"/>
        <scheme val="minor"/>
      </rPr>
      <t>就職面接説明会</t>
    </r>
    <rPh sb="11" eb="13">
      <t>ゴゴ</t>
    </rPh>
    <phoneticPr fontId="19"/>
  </si>
  <si>
    <t>救急救命講習（クラブ）</t>
  </si>
  <si>
    <t xml:space="preserve">文化行事(1-3年、午後△)
人権教育講演会（5年）
</t>
    <phoneticPr fontId="19"/>
  </si>
  <si>
    <t>本科入試処理日　　　　　　　
※学生登校禁止</t>
  </si>
  <si>
    <r>
      <rPr>
        <sz val="18"/>
        <rFont val="ＭＳ Ｐゴシック"/>
        <family val="3"/>
        <charset val="128"/>
        <scheme val="minor"/>
      </rPr>
      <t>学年末試験(予備日)</t>
    </r>
    <r>
      <rPr>
        <sz val="18"/>
        <color rgb="FF0070C0"/>
        <rFont val="ＭＳ Ｐゴシック"/>
        <family val="3"/>
        <charset val="128"/>
        <scheme val="minor"/>
      </rPr>
      <t xml:space="preserve">
</t>
    </r>
    <r>
      <rPr>
        <sz val="18"/>
        <color rgb="FF00B0F0"/>
        <rFont val="ＭＳ Ｐゴシック"/>
        <family val="3"/>
        <charset val="128"/>
        <scheme val="minor"/>
      </rPr>
      <t>補講日</t>
    </r>
    <phoneticPr fontId="19"/>
  </si>
  <si>
    <t>人権教育講演会（3年）</t>
    <phoneticPr fontId="19"/>
  </si>
  <si>
    <t>授業日(試験返却)</t>
  </si>
  <si>
    <t xml:space="preserve">企業見学会の説明会(2年)
</t>
    <phoneticPr fontId="19"/>
  </si>
  <si>
    <t>後援会総会</t>
    <phoneticPr fontId="19"/>
  </si>
  <si>
    <t>高専ロボコン近畿地区大会（名張市）</t>
  </si>
  <si>
    <t>進学ガイダンス(3年希望者)</t>
  </si>
  <si>
    <t>企業研究セミナーの事前説明会</t>
  </si>
  <si>
    <t>企業勉強会(4年)</t>
    <phoneticPr fontId="19"/>
  </si>
  <si>
    <t>高専オリンピック△</t>
  </si>
  <si>
    <t>授業日（試験返却）
半導体講演予定日（4年Eコース）</t>
    <rPh sb="0" eb="2">
      <t>ジュギョウ</t>
    </rPh>
    <rPh sb="2" eb="3">
      <t>ビ</t>
    </rPh>
    <phoneticPr fontId="19"/>
  </si>
  <si>
    <r>
      <t xml:space="preserve">創立記念日△
</t>
    </r>
    <r>
      <rPr>
        <sz val="18"/>
        <color rgb="FF00B0F0"/>
        <rFont val="ＭＳ Ｐゴシック"/>
        <family val="3"/>
        <charset val="128"/>
        <scheme val="minor"/>
      </rPr>
      <t>補講日</t>
    </r>
    <rPh sb="7" eb="10">
      <t>ホコウビ</t>
    </rPh>
    <phoneticPr fontId="19"/>
  </si>
  <si>
    <t xml:space="preserve">企業見学会の事前説明会(２年)
</t>
    <phoneticPr fontId="19"/>
  </si>
  <si>
    <t>天皇誕生日</t>
  </si>
  <si>
    <r>
      <rPr>
        <sz val="18"/>
        <color rgb="FF00B0F0"/>
        <rFont val="ＭＳ Ｐゴシック"/>
        <family val="3"/>
        <charset val="128"/>
        <scheme val="minor"/>
      </rPr>
      <t>補講日</t>
    </r>
    <r>
      <rPr>
        <sz val="18"/>
        <rFont val="ＭＳ Ｐゴシック"/>
        <family val="3"/>
        <charset val="128"/>
        <scheme val="minor"/>
      </rPr>
      <t xml:space="preserve">
企業経営者による特別講義（午前：4年生）予定
</t>
    </r>
    <phoneticPr fontId="19"/>
  </si>
  <si>
    <r>
      <rPr>
        <sz val="18"/>
        <color rgb="FF00B0F0"/>
        <rFont val="ＭＳ Ｐゴシック"/>
        <family val="3"/>
        <charset val="128"/>
        <scheme val="minor"/>
      </rPr>
      <t>月曜授業(授業実施日)</t>
    </r>
    <r>
      <rPr>
        <sz val="18"/>
        <color rgb="FFFF0000"/>
        <rFont val="ＭＳ Ｐゴシック"/>
        <family val="3"/>
        <charset val="128"/>
        <scheme val="minor"/>
      </rPr>
      <t xml:space="preserve">
（振替休日）</t>
    </r>
    <rPh sb="0" eb="2">
      <t>ゲツヨウ</t>
    </rPh>
    <rPh sb="2" eb="4">
      <t>ジュギョウ</t>
    </rPh>
    <rPh sb="13" eb="17">
      <t>フリカエキュウジツ</t>
    </rPh>
    <phoneticPr fontId="19"/>
  </si>
  <si>
    <t xml:space="preserve">サイバー犯罪防止教室（3年）
</t>
    <phoneticPr fontId="19"/>
  </si>
  <si>
    <t>宿泊オリエンテーション(1年)・校外学習(2, 3年)
インターンシップガイダンス（4年編入生対象）</t>
    <phoneticPr fontId="19"/>
  </si>
  <si>
    <t xml:space="preserve">大掃除
思春期講演会（1年）
</t>
    <phoneticPr fontId="19"/>
  </si>
  <si>
    <t>総合課題実習2（金融リテラシー：午前）</t>
  </si>
  <si>
    <r>
      <t xml:space="preserve">補講日（実験実習優先）
</t>
    </r>
    <r>
      <rPr>
        <sz val="18"/>
        <rFont val="ＭＳ Ｐゴシック"/>
        <family val="3"/>
        <charset val="128"/>
      </rPr>
      <t>IT 教育(共育)講座[E・I コース2 年対象 9～15時]</t>
    </r>
    <phoneticPr fontId="19"/>
  </si>
  <si>
    <t>冬期休業開始</t>
    <phoneticPr fontId="19"/>
  </si>
  <si>
    <t>授業日（試験返却）
人権教育講演会（2年生）</t>
    <phoneticPr fontId="19"/>
  </si>
  <si>
    <t xml:space="preserve">補講日
</t>
    <phoneticPr fontId="19"/>
  </si>
  <si>
    <r>
      <rPr>
        <sz val="18"/>
        <color rgb="FF00B0F0"/>
        <rFont val="ＭＳ Ｐゴシック"/>
        <family val="3"/>
        <charset val="128"/>
      </rPr>
      <t>補講日</t>
    </r>
    <r>
      <rPr>
        <sz val="18"/>
        <color rgb="FF0070C0"/>
        <rFont val="ＭＳ Ｐゴシック"/>
        <family val="3"/>
        <charset val="128"/>
      </rPr>
      <t>　</t>
    </r>
    <r>
      <rPr>
        <sz val="18"/>
        <color rgb="FF7030A0"/>
        <rFont val="ＭＳ Ｐゴシック"/>
        <family val="3"/>
        <charset val="128"/>
      </rPr>
      <t xml:space="preserve">
</t>
    </r>
    <r>
      <rPr>
        <sz val="18"/>
        <color theme="1"/>
        <rFont val="ＭＳ Ｐゴシック"/>
        <family val="3"/>
        <charset val="128"/>
      </rPr>
      <t>万博（3年）</t>
    </r>
    <rPh sb="5" eb="7">
      <t>バンパク</t>
    </rPh>
    <rPh sb="9" eb="10">
      <t>ネン</t>
    </rPh>
    <phoneticPr fontId="19"/>
  </si>
  <si>
    <t>授業日（試験返却）
月曜授業</t>
    <phoneticPr fontId="19"/>
  </si>
  <si>
    <t>防災リテラシー（集中講義）
総合課題実習2（金融リテラシー：午前）</t>
  </si>
  <si>
    <r>
      <t xml:space="preserve">補講日
</t>
    </r>
    <r>
      <rPr>
        <sz val="18"/>
        <rFont val="ＭＳ Ｐゴシック"/>
        <family val="3"/>
        <charset val="128"/>
        <scheme val="minor"/>
      </rPr>
      <t>半導体講演予定日（2年生）</t>
    </r>
    <phoneticPr fontId="19"/>
  </si>
  <si>
    <t>防災リテラシー（集中講義）
総合課題実習2（金融リテラシー：午前）</t>
    <phoneticPr fontId="19"/>
  </si>
  <si>
    <t>後期中間試験①</t>
  </si>
  <si>
    <t>補講日</t>
  </si>
  <si>
    <r>
      <t xml:space="preserve">補講日
</t>
    </r>
    <r>
      <rPr>
        <sz val="18"/>
        <rFont val="ＭＳ Ｐゴシック"/>
        <family val="3"/>
        <charset val="128"/>
      </rPr>
      <t>万博（1年</t>
    </r>
    <r>
      <rPr>
        <sz val="18"/>
        <color rgb="FF00B0F0"/>
        <rFont val="ＭＳ Ｐゴシック"/>
        <family val="3"/>
        <charset val="128"/>
      </rPr>
      <t>）</t>
    </r>
    <phoneticPr fontId="19"/>
  </si>
  <si>
    <t>4年次編入学説明会</t>
  </si>
  <si>
    <t>公開授業開始</t>
  </si>
  <si>
    <t>前期末試験①</t>
  </si>
  <si>
    <t>防災リテラシー（防災マップ作成）</t>
  </si>
  <si>
    <r>
      <t>補講日</t>
    </r>
    <r>
      <rPr>
        <sz val="18"/>
        <color rgb="FF7030A0"/>
        <rFont val="ＭＳ Ｐゴシック"/>
        <family val="3"/>
        <charset val="128"/>
      </rPr>
      <t xml:space="preserve">
</t>
    </r>
    <r>
      <rPr>
        <sz val="18"/>
        <rFont val="ＭＳ Ｐゴシック"/>
        <family val="3"/>
        <charset val="128"/>
      </rPr>
      <t>万博（2年）
前期終了　</t>
    </r>
    <r>
      <rPr>
        <sz val="18"/>
        <color rgb="FF7030A0"/>
        <rFont val="ＭＳ Ｐゴシック"/>
        <family val="3"/>
        <charset val="128"/>
      </rPr>
      <t>　　</t>
    </r>
    <r>
      <rPr>
        <sz val="18"/>
        <color rgb="FF00B0F0"/>
        <rFont val="ＭＳ Ｐゴシック"/>
        <family val="3"/>
        <charset val="128"/>
      </rPr>
      <t>　　　　　　　</t>
    </r>
    <rPh sb="4" eb="6">
      <t>バンパク</t>
    </rPh>
    <rPh sb="8" eb="9">
      <t>ネン</t>
    </rPh>
    <phoneticPr fontId="19"/>
  </si>
  <si>
    <t>前期末試験②</t>
  </si>
  <si>
    <t>補講日</t>
    <rPh sb="0" eb="2">
      <t>ホコウ</t>
    </rPh>
    <phoneticPr fontId="19"/>
  </si>
  <si>
    <t xml:space="preserve">大阪公立大学工業高等専門学校    
  △　：　全 日 休 講  
</t>
    <rPh sb="2" eb="4">
      <t>コウリツ</t>
    </rPh>
    <phoneticPr fontId="19"/>
  </si>
  <si>
    <t>2025年度　行事予定表(前期）</t>
    <rPh sb="13" eb="15">
      <t>ゼンキ</t>
    </rPh>
    <phoneticPr fontId="19"/>
  </si>
  <si>
    <t>春季休業開始　　　　　</t>
    <phoneticPr fontId="19"/>
  </si>
  <si>
    <t>薬物乱用防止教室(2年)</t>
    <phoneticPr fontId="19"/>
  </si>
  <si>
    <r>
      <t xml:space="preserve">補講日
</t>
    </r>
    <r>
      <rPr>
        <sz val="14"/>
        <rFont val="ＭＳ Ｐゴシック"/>
        <family val="3"/>
        <charset val="128"/>
        <scheme val="minor"/>
      </rPr>
      <t>※1年木曜授業(宿泊オリテ振替)</t>
    </r>
    <r>
      <rPr>
        <sz val="14"/>
        <color rgb="FF00B0F0"/>
        <rFont val="ＭＳ Ｐゴシック"/>
        <family val="3"/>
        <charset val="128"/>
        <scheme val="minor"/>
      </rPr>
      <t xml:space="preserve">
</t>
    </r>
    <r>
      <rPr>
        <sz val="14"/>
        <rFont val="ＭＳ Ｐゴシック"/>
        <family val="3"/>
        <charset val="128"/>
        <scheme val="minor"/>
      </rPr>
      <t>バッテリー講演：リサイクル（2年生5-6時限）</t>
    </r>
    <phoneticPr fontId="19"/>
  </si>
  <si>
    <t>前期末試験⑥
人権教育講演会（4年）
工学研究の最先端（集中講義）</t>
    <phoneticPr fontId="19"/>
  </si>
  <si>
    <r>
      <t>前期末試験（予備日）</t>
    </r>
    <r>
      <rPr>
        <sz val="18"/>
        <color rgb="FF0070C0"/>
        <rFont val="ＭＳ Ｐゴシック"/>
        <family val="3"/>
        <charset val="128"/>
        <scheme val="minor"/>
      </rPr>
      <t xml:space="preserve">
</t>
    </r>
    <r>
      <rPr>
        <sz val="18"/>
        <rFont val="ＭＳ Ｐゴシック"/>
        <family val="3"/>
        <charset val="128"/>
        <scheme val="minor"/>
      </rPr>
      <t>工学研究の最先端（集中講義）</t>
    </r>
    <rPh sb="6" eb="9">
      <t>ヨビビ</t>
    </rPh>
    <phoneticPr fontId="19"/>
  </si>
  <si>
    <t>前期授業開始
学内インターンシップ企業説明会予定（放課後：3・4・5年生）
内科・歯科検診(1年)</t>
    <phoneticPr fontId="19"/>
  </si>
  <si>
    <t>前期中間試験③</t>
  </si>
  <si>
    <t>4年次編入学試験（予備日）
インターンシップ終了
企業見学会終了（2年）
SAJ アイデアソン開催日</t>
  </si>
  <si>
    <t>前期中間試験⑤
午後水曜授業(1～3年)
自転車安全講習会(1年)</t>
    <phoneticPr fontId="19"/>
  </si>
  <si>
    <t>前期中間試験予備日</t>
    <phoneticPr fontId="19"/>
  </si>
  <si>
    <t>内科・歯科検診（2・4年）</t>
    <phoneticPr fontId="19"/>
  </si>
  <si>
    <t>尿検査2次2日目（尿検査最終回）</t>
    <phoneticPr fontId="19"/>
  </si>
  <si>
    <t xml:space="preserve">
インターンシップ事前教育
(4年)
</t>
  </si>
  <si>
    <t>授業日（試験返却）
応用専門概論起業家卒業生講演</t>
  </si>
  <si>
    <t>文化行事(1-3年、午後△)
人権教育講演会（5年）</t>
    <phoneticPr fontId="19"/>
  </si>
  <si>
    <t>企業見学会の説明会(2年)</t>
    <phoneticPr fontId="19"/>
  </si>
  <si>
    <t>企業見学会の事前説明会(２年)</t>
    <phoneticPr fontId="19"/>
  </si>
  <si>
    <t>宿泊オリエンテーション(1年)</t>
    <phoneticPr fontId="19"/>
  </si>
  <si>
    <r>
      <rPr>
        <sz val="18"/>
        <color rgb="FF00B0F0"/>
        <rFont val="ＭＳ Ｐゴシック"/>
        <family val="3"/>
        <charset val="128"/>
        <scheme val="minor"/>
      </rPr>
      <t>補講日</t>
    </r>
    <r>
      <rPr>
        <sz val="18"/>
        <rFont val="ＭＳ Ｐゴシック"/>
        <family val="3"/>
        <charset val="128"/>
        <scheme val="minor"/>
      </rPr>
      <t xml:space="preserve">
企業経営者による特別講義（午前：4年生）予定</t>
    </r>
    <phoneticPr fontId="19"/>
  </si>
  <si>
    <t xml:space="preserve">大掃除
思春期講演会（1年）
</t>
  </si>
  <si>
    <r>
      <t xml:space="preserve">補講日
</t>
    </r>
    <r>
      <rPr>
        <sz val="18"/>
        <rFont val="ＭＳ Ｐゴシック"/>
        <family val="3"/>
        <charset val="128"/>
      </rPr>
      <t>万博（1年）</t>
    </r>
    <phoneticPr fontId="19"/>
  </si>
  <si>
    <t>2025年度　行事予定表(後期）</t>
    <rPh sb="13" eb="15">
      <t>コウキ</t>
    </rPh>
    <phoneticPr fontId="19"/>
  </si>
  <si>
    <t>振替休講日(10月13日振替)
（後期中間試験予備日）</t>
    <rPh sb="0" eb="2">
      <t>フリカエ</t>
    </rPh>
    <rPh sb="2" eb="4">
      <t>キュウコウ</t>
    </rPh>
    <rPh sb="4" eb="5">
      <t>ビ</t>
    </rPh>
    <phoneticPr fontId="19"/>
  </si>
  <si>
    <t>本科入学試験（学力選抜）
※学生登校禁止△</t>
    <phoneticPr fontId="19"/>
  </si>
  <si>
    <t>入試処理日
※学生登校禁止△</t>
    <phoneticPr fontId="19"/>
  </si>
  <si>
    <t>成人の日</t>
    <phoneticPr fontId="19"/>
  </si>
  <si>
    <t>本科入学試験（学力選抜追試験）
※学生登校禁止△</t>
    <phoneticPr fontId="19"/>
  </si>
  <si>
    <t>サイバー犯罪防止教室（3年）</t>
    <phoneticPr fontId="19"/>
  </si>
  <si>
    <r>
      <t xml:space="preserve">補講日
</t>
    </r>
    <r>
      <rPr>
        <sz val="18"/>
        <rFont val="ＭＳ Ｐゴシック"/>
        <family val="3"/>
        <charset val="128"/>
        <scheme val="minor"/>
      </rPr>
      <t>半導体講演予定日（3年生）</t>
    </r>
    <phoneticPr fontId="19"/>
  </si>
  <si>
    <t>スポーツの日</t>
  </si>
  <si>
    <t>元日</t>
  </si>
  <si>
    <t>変更前</t>
    <rPh sb="0" eb="2">
      <t>ヘンコウ</t>
    </rPh>
    <rPh sb="2" eb="3">
      <t>マエ</t>
    </rPh>
    <phoneticPr fontId="19"/>
  </si>
  <si>
    <t>変更後</t>
    <rPh sb="0" eb="2">
      <t>ヘンコウ</t>
    </rPh>
    <rPh sb="2" eb="3">
      <t>ゴ</t>
    </rPh>
    <phoneticPr fontId="41"/>
  </si>
  <si>
    <t>変更日</t>
    <rPh sb="0" eb="2">
      <t>ヘンコウ</t>
    </rPh>
    <rPh sb="2" eb="3">
      <t>ビ</t>
    </rPh>
    <phoneticPr fontId="19"/>
  </si>
  <si>
    <t>依頼元</t>
    <rPh sb="0" eb="3">
      <t>イライモト</t>
    </rPh>
    <phoneticPr fontId="19"/>
  </si>
  <si>
    <t>備考</t>
    <rPh sb="0" eb="2">
      <t>ビコウ</t>
    </rPh>
    <phoneticPr fontId="19"/>
  </si>
  <si>
    <t>月日</t>
    <rPh sb="0" eb="2">
      <t>ツキヒ</t>
    </rPh>
    <phoneticPr fontId="41"/>
  </si>
  <si>
    <t>内容</t>
    <rPh sb="0" eb="2">
      <t>ナイヨウ</t>
    </rPh>
    <phoneticPr fontId="41"/>
  </si>
  <si>
    <t>クロージングイベント</t>
  </si>
  <si>
    <t>土井</t>
  </si>
  <si>
    <t>同窓会共催</t>
  </si>
  <si>
    <t>1/22～1/29</t>
    <phoneticPr fontId="19"/>
  </si>
  <si>
    <t>学年末試験</t>
    <rPh sb="0" eb="2">
      <t>ガクネン</t>
    </rPh>
    <rPh sb="2" eb="3">
      <t>マツ</t>
    </rPh>
    <rPh sb="3" eb="5">
      <t>シケン</t>
    </rPh>
    <phoneticPr fontId="19"/>
  </si>
  <si>
    <t>1/26～2/2</t>
    <phoneticPr fontId="19"/>
  </si>
  <si>
    <t>西岡</t>
    <rPh sb="0" eb="2">
      <t>ニシオカ</t>
    </rPh>
    <phoneticPr fontId="19"/>
  </si>
  <si>
    <t>企業研究セミナーの補講日（月・火）を確保するため</t>
    <rPh sb="0" eb="2">
      <t>キギョウ</t>
    </rPh>
    <rPh sb="2" eb="4">
      <t>ケンキュウ</t>
    </rPh>
    <rPh sb="9" eb="12">
      <t>ホコウビ</t>
    </rPh>
    <rPh sb="13" eb="14">
      <t>ゲツ</t>
    </rPh>
    <rPh sb="15" eb="16">
      <t>カ</t>
    </rPh>
    <rPh sb="18" eb="20">
      <t>カクホ</t>
    </rPh>
    <phoneticPr fontId="19"/>
  </si>
  <si>
    <t>4/9,4/16,4/30</t>
  </si>
  <si>
    <t>内科・歯科検診</t>
  </si>
  <si>
    <t>高橋</t>
  </si>
  <si>
    <t>学校医・歯科医確認済み</t>
  </si>
  <si>
    <t>4/21,5/12</t>
  </si>
  <si>
    <t>尿検査1次2回目、尿2次</t>
  </si>
  <si>
    <t>尿検査は合計で3回（例年より1回少なくなります）</t>
  </si>
  <si>
    <t>3/10(水)</t>
    <rPh sb="5" eb="6">
      <t>スイ</t>
    </rPh>
    <phoneticPr fontId="19"/>
  </si>
  <si>
    <t>運営会議</t>
    <rPh sb="0" eb="2">
      <t>ウンエイ</t>
    </rPh>
    <rPh sb="2" eb="4">
      <t>カイギ</t>
    </rPh>
    <phoneticPr fontId="19"/>
  </si>
  <si>
    <t>暫定</t>
    <rPh sb="0" eb="2">
      <t>ザンテイ</t>
    </rPh>
    <phoneticPr fontId="19"/>
  </si>
  <si>
    <t>教職員特殊歯科検診</t>
  </si>
  <si>
    <t>湯谷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</si>
</sst>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aaa"/>
    <numFmt numFmtId="177" formatCode="0&quot;月&quot;"/>
    <numFmt numFmtId="178" formatCode="m/d;@"/>
  </numFmts>
  <fonts count="173">
    <font>
      <sz val="11"/>
      <name val="明朝"/>
      <family val="2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明朝"/>
      <family val="2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color rgb="FF0000FF"/>
      <name val="MS UI Gothic"/>
      <family val="3"/>
      <charset val="128"/>
    </font>
    <font>
      <sz val="11"/>
      <color rgb="FF000000"/>
      <name val="Arial"/>
      <family val="2"/>
    </font>
    <font>
      <sz val="16"/>
      <color rgb="FF000000"/>
      <name val="Arial"/>
      <family val="2"/>
    </font>
    <font>
      <sz val="28"/>
      <color rgb="FF000000"/>
      <name val="Arial"/>
      <family val="2"/>
    </font>
    <font>
      <sz val="48"/>
      <color rgb="FF000000"/>
      <name val="Arial"/>
      <family val="2"/>
    </font>
    <font>
      <sz val="18"/>
      <color rgb="FF000000"/>
      <name val="Arial"/>
      <family val="2"/>
    </font>
    <font>
      <sz val="20"/>
      <color rgb="FF000000"/>
      <name val="Arial"/>
      <family val="2"/>
    </font>
    <font>
      <sz val="36"/>
      <color rgb="FF000000"/>
      <name val="Arial"/>
      <family val="2"/>
    </font>
    <font>
      <sz val="11"/>
      <name val="Arial"/>
      <family val="2"/>
    </font>
    <font>
      <sz val="22"/>
      <color rgb="FF000000"/>
      <name val="Arial"/>
      <family val="2"/>
    </font>
    <font>
      <sz val="16"/>
      <name val="Arial"/>
      <family val="2"/>
    </font>
    <font>
      <sz val="18"/>
      <name val="ＭＳ Ｐゴシック"/>
      <family val="3"/>
      <charset val="128"/>
    </font>
    <font>
      <sz val="48"/>
      <color rgb="FF000000"/>
      <name val="ＭＳ ゴシック"/>
      <family val="3"/>
      <charset val="128"/>
    </font>
    <font>
      <sz val="48"/>
      <color rgb="FF000000"/>
      <name val="Arial"/>
      <family val="3"/>
      <charset val="128"/>
    </font>
    <font>
      <sz val="18"/>
      <name val="MS UI Gothic"/>
      <family val="3"/>
      <charset val="128"/>
    </font>
    <font>
      <sz val="10"/>
      <name val="MS UI Gothic"/>
      <family val="3"/>
      <charset val="128"/>
    </font>
    <font>
      <sz val="36"/>
      <name val="HGS創英角ｺﾞｼｯｸUB"/>
      <family val="3"/>
      <charset val="128"/>
    </font>
    <font>
      <b/>
      <sz val="8"/>
      <name val="明朝"/>
      <family val="2"/>
    </font>
    <font>
      <sz val="16"/>
      <name val="MS UI Gothic"/>
      <family val="3"/>
      <charset val="128"/>
    </font>
    <font>
      <sz val="48"/>
      <color theme="0"/>
      <name val="MS UI Gothic"/>
      <family val="3"/>
      <charset val="128"/>
    </font>
    <font>
      <sz val="48"/>
      <name val="MS UI Gothic"/>
      <family val="3"/>
      <charset val="128"/>
    </font>
    <font>
      <sz val="6"/>
      <name val="明朝"/>
      <family val="2"/>
    </font>
    <font>
      <sz val="28"/>
      <name val="MS UI Gothic"/>
      <family val="3"/>
      <charset val="128"/>
    </font>
    <font>
      <sz val="24"/>
      <name val="MS UI Gothic"/>
      <family val="3"/>
      <charset val="128"/>
    </font>
    <font>
      <sz val="22"/>
      <name val="MS UI Gothic"/>
      <family val="3"/>
      <charset val="128"/>
    </font>
    <font>
      <b/>
      <sz val="16"/>
      <name val="MS UI Gothic"/>
      <family val="3"/>
      <charset val="128"/>
    </font>
    <font>
      <b/>
      <sz val="10"/>
      <name val="MS UI Gothic"/>
      <family val="3"/>
      <charset val="128"/>
    </font>
    <font>
      <b/>
      <sz val="16"/>
      <color rgb="FFFF0000"/>
      <name val="MS UI Gothic"/>
      <family val="3"/>
      <charset val="128"/>
    </font>
    <font>
      <sz val="16"/>
      <color theme="0"/>
      <name val="MS UI Gothic"/>
      <family val="3"/>
      <charset val="128"/>
    </font>
    <font>
      <sz val="20"/>
      <name val="MS UI Gothic"/>
      <family val="3"/>
      <charset val="128"/>
    </font>
    <font>
      <sz val="11"/>
      <color theme="1"/>
      <name val="Arial"/>
      <family val="2"/>
    </font>
    <font>
      <sz val="16"/>
      <color rgb="FFFF0000"/>
      <name val="Arial"/>
      <family val="2"/>
    </font>
    <font>
      <sz val="28"/>
      <color rgb="FF000000"/>
      <name val="ＭＳ Ｐゴシック"/>
      <family val="3"/>
      <charset val="128"/>
    </font>
    <font>
      <b/>
      <sz val="11"/>
      <name val="明朝"/>
      <family val="2"/>
    </font>
    <font>
      <sz val="11"/>
      <name val="ＭＳ Ｐゴシック"/>
      <family val="3"/>
      <charset val="128"/>
    </font>
    <font>
      <sz val="18"/>
      <color rgb="FFFF0000"/>
      <name val="ＭＳ Ｐゴシック"/>
      <family val="3"/>
      <charset val="128"/>
      <scheme val="minor"/>
    </font>
    <font>
      <sz val="18"/>
      <name val="ＭＳ Ｐゴシック"/>
      <family val="3"/>
      <charset val="128"/>
      <scheme val="minor"/>
    </font>
    <font>
      <sz val="18"/>
      <color rgb="FF00B05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8"/>
      <color rgb="FF000000"/>
      <name val="ＭＳ Ｐゴシック"/>
      <family val="3"/>
      <charset val="128"/>
      <scheme val="minor"/>
    </font>
    <font>
      <sz val="18"/>
      <color rgb="FF00B0F0"/>
      <name val="ＭＳ Ｐゴシック"/>
      <family val="3"/>
      <charset val="128"/>
      <scheme val="minor"/>
    </font>
    <font>
      <sz val="16"/>
      <name val="ＭＳ Ｐゴシック"/>
      <family val="3"/>
      <charset val="128"/>
      <scheme val="minor"/>
    </font>
    <font>
      <b/>
      <sz val="18"/>
      <color rgb="FF00B050"/>
      <name val="ＭＳ Ｐゴシック"/>
      <family val="3"/>
      <charset val="128"/>
      <scheme val="minor"/>
    </font>
    <font>
      <sz val="18"/>
      <color rgb="FF7030A0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b/>
      <sz val="18"/>
      <color rgb="FF00B0F0"/>
      <name val="ＭＳ Ｐゴシック"/>
      <family val="3"/>
      <charset val="128"/>
      <scheme val="minor"/>
    </font>
    <font>
      <sz val="18"/>
      <color rgb="FF833C0C"/>
      <name val="ＭＳ Ｐゴシック"/>
      <family val="3"/>
      <charset val="128"/>
      <scheme val="minor"/>
    </font>
    <font>
      <sz val="16"/>
      <color rgb="FF000000"/>
      <name val="ＭＳ Ｐゴシック"/>
      <family val="3"/>
      <charset val="128"/>
      <scheme val="minor"/>
    </font>
    <font>
      <sz val="18"/>
      <color rgb="FF0000FF"/>
      <name val="ＭＳ Ｐゴシック"/>
      <family val="3"/>
      <charset val="128"/>
      <scheme val="minor"/>
    </font>
    <font>
      <sz val="16"/>
      <color rgb="FFFF0000"/>
      <name val="ＭＳ ゴシック"/>
      <family val="3"/>
      <charset val="128"/>
    </font>
    <font>
      <sz val="11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ajor"/>
    </font>
    <font>
      <sz val="20"/>
      <name val="HGS創英角ｺﾞｼｯｸUB"/>
      <family val="3"/>
      <charset val="128"/>
    </font>
    <font>
      <b/>
      <sz val="16"/>
      <color rgb="FFFF0000"/>
      <name val="Arial"/>
      <family val="2"/>
    </font>
    <font>
      <b/>
      <sz val="16"/>
      <color rgb="FFFF0000"/>
      <name val="ＭＳ Ｐゴシック"/>
      <family val="3"/>
      <charset val="128"/>
    </font>
    <font>
      <sz val="16"/>
      <color rgb="FFFF0000"/>
      <name val="Arial"/>
      <family val="2"/>
      <charset val="128"/>
    </font>
    <font>
      <sz val="16"/>
      <color rgb="FFFF0000"/>
      <name val="ＭＳ Ｐゴシック"/>
      <family val="2"/>
      <charset val="128"/>
    </font>
    <font>
      <sz val="18"/>
      <color rgb="FF0070C0"/>
      <name val="ＭＳ Ｐゴシック"/>
      <family val="3"/>
      <charset val="128"/>
      <scheme val="minor"/>
    </font>
    <font>
      <i/>
      <sz val="18"/>
      <name val="ＭＳ Ｐゴシック"/>
      <family val="3"/>
      <charset val="128"/>
      <scheme val="minor"/>
    </font>
    <font>
      <sz val="20"/>
      <color rgb="FF000000"/>
      <name val="ＭＳ ゴシック"/>
      <family val="3"/>
      <charset val="128"/>
    </font>
    <font>
      <sz val="20"/>
      <color rgb="FF000000"/>
      <name val="Segoe UI Symbol"/>
      <family val="2"/>
    </font>
    <font>
      <sz val="20"/>
      <color rgb="FF000000"/>
      <name val="Segoe UI Symbol"/>
      <family val="1"/>
    </font>
    <font>
      <sz val="20"/>
      <color rgb="FF000000"/>
      <name val="Arial"/>
      <family val="1"/>
    </font>
    <font>
      <sz val="20"/>
      <color rgb="FFFF0000"/>
      <name val="Arial"/>
      <family val="2"/>
    </font>
    <font>
      <sz val="20"/>
      <color rgb="FFFF0000"/>
      <name val="Segoe UI Symbol"/>
      <family val="2"/>
    </font>
    <font>
      <sz val="20"/>
      <color rgb="FFFF0000"/>
      <name val="ＭＳ Ｐゴシック"/>
      <family val="2"/>
      <charset val="128"/>
    </font>
    <font>
      <sz val="18"/>
      <color rgb="FF000000"/>
      <name val="ＭＳ Ｐゴシック"/>
      <family val="3"/>
      <charset val="128"/>
    </font>
    <font>
      <sz val="18"/>
      <color rgb="FFFF0000"/>
      <name val="ＭＳ Ｐゴシック"/>
      <family val="3"/>
      <charset val="128"/>
    </font>
    <font>
      <sz val="18"/>
      <color rgb="FF7030A0"/>
      <name val="ＭＳ Ｐゴシック"/>
      <family val="3"/>
      <charset val="128"/>
    </font>
    <font>
      <sz val="18"/>
      <color rgb="FF00B0F0"/>
      <name val="ＭＳ Ｐゴシック"/>
      <family val="3"/>
      <charset val="128"/>
    </font>
    <font>
      <sz val="28"/>
      <color rgb="FFFF0000"/>
      <name val="Arial"/>
      <family val="2"/>
    </font>
    <font>
      <b/>
      <sz val="22"/>
      <color rgb="FFFF0000"/>
      <name val="ＭＳ Ｐゴシック"/>
      <family val="3"/>
      <charset val="128"/>
      <scheme val="minor"/>
    </font>
    <font>
      <sz val="18"/>
      <color rgb="FF70AD47"/>
      <name val="ＭＳ Ｐゴシック"/>
      <family val="3"/>
      <charset val="128"/>
      <scheme val="minor"/>
    </font>
    <font>
      <sz val="16"/>
      <color rgb="FF0000FF"/>
      <name val="ＭＳ Ｐゴシック"/>
      <family val="3"/>
      <charset val="128"/>
      <scheme val="minor"/>
    </font>
    <font>
      <sz val="16"/>
      <color rgb="FFFF0000"/>
      <name val="ＭＳ Ｐゴシック"/>
      <family val="3"/>
      <charset val="128"/>
      <scheme val="minor"/>
    </font>
    <font>
      <sz val="20"/>
      <name val="Arial"/>
      <family val="2"/>
    </font>
    <font>
      <sz val="20"/>
      <name val="Segoe UI Symbol"/>
      <family val="2"/>
    </font>
    <font>
      <sz val="20"/>
      <name val="ＭＳ Ｐゴシック"/>
      <family val="2"/>
      <charset val="128"/>
    </font>
    <font>
      <sz val="18"/>
      <color rgb="FF00B050"/>
      <name val="ＭＳ Ｐゴシック"/>
      <family val="3"/>
      <charset val="128"/>
    </font>
    <font>
      <b/>
      <sz val="18"/>
      <color rgb="FFFF0000"/>
      <name val="ＭＳ Ｐゴシック"/>
      <family val="3"/>
      <charset val="128"/>
    </font>
    <font>
      <b/>
      <sz val="18"/>
      <color rgb="FF000000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20"/>
      <name val="ＭＳ Ｐゴシック"/>
      <family val="3"/>
      <charset val="128"/>
      <scheme val="minor"/>
    </font>
    <font>
      <sz val="18"/>
      <color theme="6"/>
      <name val="ＭＳ Ｐゴシック"/>
      <family val="3"/>
      <charset val="128"/>
      <scheme val="minor"/>
    </font>
    <font>
      <sz val="16"/>
      <color rgb="FF000000"/>
      <name val="ＭＳ Ｐゴシック"/>
      <family val="2"/>
      <charset val="128"/>
    </font>
    <font>
      <sz val="16"/>
      <color rgb="FF000000"/>
      <name val="Arial"/>
      <family val="2"/>
      <charset val="128"/>
    </font>
    <font>
      <sz val="16"/>
      <name val="Arial"/>
      <family val="2"/>
      <charset val="128"/>
    </font>
    <font>
      <b/>
      <sz val="18"/>
      <name val="ＭＳ Ｐゴシック"/>
      <family val="3"/>
      <charset val="128"/>
      <scheme val="minor"/>
    </font>
    <font>
      <sz val="18"/>
      <color rgb="FFFF0000"/>
      <name val="ＭＳ Ｐゴシック"/>
      <family val="2"/>
      <scheme val="minor"/>
    </font>
    <font>
      <sz val="18"/>
      <color rgb="FF000000"/>
      <name val="ＭＳ Ｐゴシック"/>
      <family val="2"/>
      <scheme val="minor"/>
    </font>
    <font>
      <sz val="18"/>
      <name val="ＭＳ Ｐゴシック"/>
      <family val="2"/>
      <scheme val="minor"/>
    </font>
    <font>
      <b/>
      <sz val="18"/>
      <color rgb="FF0070C0"/>
      <name val="ＭＳ Ｐゴシック"/>
      <family val="3"/>
      <charset val="128"/>
      <scheme val="minor"/>
    </font>
    <font>
      <sz val="16"/>
      <color rgb="FF000000"/>
      <name val="ＭＳ Ｐゴシック"/>
      <family val="3"/>
      <charset val="128"/>
    </font>
    <font>
      <b/>
      <sz val="18"/>
      <color rgb="FF0070C0"/>
      <name val="ＭＳ Ｐゴシック"/>
      <family val="2"/>
      <scheme val="minor"/>
    </font>
    <font>
      <b/>
      <sz val="18"/>
      <color rgb="FF000000"/>
      <name val="ＭＳ Ｐゴシック"/>
      <family val="2"/>
      <scheme val="minor"/>
    </font>
    <font>
      <sz val="20"/>
      <name val="ＭＳ Ｐゴシック"/>
      <family val="3"/>
      <charset val="128"/>
    </font>
    <font>
      <sz val="18"/>
      <name val="Calibri"/>
      <family val="2"/>
    </font>
    <font>
      <sz val="18"/>
      <name val="Arial"/>
      <family val="2"/>
    </font>
    <font>
      <sz val="18"/>
      <color theme="1"/>
      <name val="ＭＳ Ｐゴシック"/>
      <family val="3"/>
      <charset val="128"/>
      <scheme val="minor"/>
    </font>
    <font>
      <sz val="48"/>
      <color rgb="FF000000"/>
      <name val="ＭＳ Ｐゴシック"/>
      <family val="3"/>
      <charset val="128"/>
    </font>
    <font>
      <sz val="18"/>
      <color rgb="FF0070C0"/>
      <name val="ＭＳ Ｐゴシック"/>
      <family val="3"/>
      <charset val="128"/>
    </font>
    <font>
      <b/>
      <sz val="18"/>
      <color rgb="FF0070C0"/>
      <name val="ＭＳ Ｐゴシック"/>
      <family val="3"/>
      <charset val="128"/>
    </font>
    <font>
      <b/>
      <sz val="18"/>
      <color rgb="FF00B05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theme="1"/>
      <name val="Yu Gothic"/>
      <family val="3"/>
      <charset val="128"/>
    </font>
    <font>
      <b/>
      <sz val="18"/>
      <color theme="4"/>
      <name val="ＭＳ Ｐゴシック"/>
      <family val="3"/>
      <charset val="128"/>
      <scheme val="minor"/>
    </font>
    <font>
      <b/>
      <sz val="18"/>
      <color rgb="FF000000"/>
      <name val="Calibri"/>
      <family val="2"/>
    </font>
    <font>
      <sz val="18"/>
      <color theme="1"/>
      <name val="ＭＳ Ｐゴシック"/>
      <family val="3"/>
      <charset val="128"/>
    </font>
    <font>
      <sz val="18"/>
      <color rgb="FF00B0F0"/>
      <name val="ＭＳ ゴシック"/>
      <family val="3"/>
      <charset val="128"/>
    </font>
    <font>
      <sz val="18"/>
      <color rgb="FF00B0F0"/>
      <name val="ＭＳ Ｐゴシック"/>
      <family val="3"/>
      <charset val="128"/>
      <scheme val="major"/>
    </font>
    <font>
      <sz val="14"/>
      <name val="ＭＳ Ｐゴシック"/>
      <family val="3"/>
      <charset val="128"/>
      <scheme val="minor"/>
    </font>
    <font>
      <sz val="18"/>
      <name val="明朝"/>
      <family val="2"/>
    </font>
    <font>
      <sz val="18"/>
      <color rgb="FFFF0000"/>
      <name val="Arial"/>
      <family val="2"/>
    </font>
    <font>
      <sz val="14"/>
      <color rgb="FFFF0000"/>
      <name val="ＭＳ Ｐゴシック"/>
      <family val="3"/>
      <charset val="128"/>
      <scheme val="minor"/>
    </font>
    <font>
      <sz val="14"/>
      <color rgb="FF00B0F0"/>
      <name val="ＭＳ Ｐゴシック"/>
      <family val="3"/>
      <charset val="128"/>
      <scheme val="minor"/>
    </font>
    <font>
      <sz val="48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24"/>
      <color rgb="FFFF0000"/>
      <name val="ＭＳ Ｐゴシック"/>
      <family val="3"/>
      <charset val="128"/>
      <scheme val="minor"/>
    </font>
    <font>
      <b/>
      <sz val="24"/>
      <color rgb="FFFF0000"/>
      <name val="ＭＳ Ｐゴシック"/>
      <family val="3"/>
      <charset val="128"/>
      <scheme val="minor"/>
    </font>
    <font>
      <sz val="18"/>
      <color rgb="FF000000"/>
      <name val="ＭＳ Ｐゴシック"/>
      <family val="2"/>
      <charset val="128"/>
    </font>
    <font>
      <sz val="18"/>
      <color rgb="FF000000"/>
      <name val="Arial"/>
      <family val="2"/>
      <charset val="128"/>
    </font>
    <font>
      <b/>
      <sz val="16"/>
      <color rgb="FF000000"/>
      <name val="Arial"/>
      <family val="2"/>
    </font>
    <font>
      <sz val="18"/>
      <color rgb="FF000000"/>
      <name val="Segoe UI Symbol"/>
      <family val="2"/>
    </font>
    <font>
      <b/>
      <sz val="20"/>
      <color rgb="FF00B050"/>
      <name val="ＭＳ Ｐゴシック"/>
      <family val="3"/>
      <charset val="128"/>
      <scheme val="minor"/>
    </font>
    <font>
      <sz val="18"/>
      <color rgb="FFC0504D"/>
      <name val="ＭＳ Ｐゴシック"/>
      <family val="2"/>
      <scheme val="minor"/>
    </font>
    <font>
      <sz val="18"/>
      <color theme="5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</font>
    <font>
      <b/>
      <sz val="20"/>
      <color rgb="FFFF0000"/>
      <name val="Arial"/>
      <family val="2"/>
    </font>
    <font>
      <strike/>
      <sz val="20"/>
      <color rgb="FFFF0000"/>
      <name val="ＭＳ Ｐゴシック"/>
      <family val="3"/>
      <charset val="128"/>
    </font>
    <font>
      <sz val="11"/>
      <name val="BIZ UDPゴシック"/>
      <family val="3"/>
      <charset val="128"/>
    </font>
    <font>
      <sz val="11"/>
      <color rgb="FFFF0000"/>
      <name val="BIZ UDPゴシック"/>
      <family val="3"/>
      <charset val="128"/>
    </font>
    <font>
      <sz val="11"/>
      <color rgb="FF0070C0"/>
      <name val="BIZ UDPゴシック"/>
      <family val="3"/>
      <charset val="128"/>
    </font>
    <font>
      <b/>
      <sz val="20"/>
      <color rgb="FFFF0000"/>
      <name val="Segoe UI Symbol"/>
      <family val="2"/>
    </font>
    <font>
      <b/>
      <sz val="20"/>
      <color rgb="FFFF0000"/>
      <name val="ＭＳ Ｐゴシック"/>
      <family val="2"/>
      <charset val="128"/>
    </font>
    <font>
      <b/>
      <sz val="20"/>
      <color rgb="FF000000"/>
      <name val="Arial"/>
      <family val="2"/>
    </font>
    <font>
      <b/>
      <sz val="20"/>
      <color rgb="FF000000"/>
      <name val="Segoe UI Symbol"/>
      <family val="2"/>
    </font>
    <font>
      <b/>
      <sz val="20"/>
      <color rgb="FF000000"/>
      <name val="ＭＳ ゴシック"/>
      <family val="3"/>
      <charset val="128"/>
    </font>
    <font>
      <b/>
      <sz val="20"/>
      <color rgb="FF000000"/>
      <name val="ＭＳ Ｐゴシック"/>
      <family val="2"/>
      <charset val="128"/>
    </font>
    <font>
      <b/>
      <sz val="20"/>
      <name val="Arial"/>
      <family val="2"/>
    </font>
    <font>
      <b/>
      <sz val="20"/>
      <name val="Segoe UI Symbol"/>
      <family val="2"/>
    </font>
    <font>
      <b/>
      <sz val="20"/>
      <name val="ＭＳ Ｐゴシック"/>
      <family val="2"/>
      <charset val="128"/>
    </font>
    <font>
      <strike/>
      <sz val="18"/>
      <color rgb="FF00B050"/>
      <name val="ＭＳ Ｐゴシック"/>
      <family val="3"/>
      <charset val="128"/>
      <scheme val="minor"/>
    </font>
    <font>
      <sz val="18"/>
      <color rgb="FF000000"/>
      <name val="MS PGothic"/>
      <family val="2"/>
      <charset val="128"/>
    </font>
    <font>
      <i/>
      <sz val="18"/>
      <color rgb="FF000000"/>
      <name val="ＭＳ Ｐゴシック"/>
      <family val="2"/>
      <scheme val="minor"/>
    </font>
    <font>
      <b/>
      <sz val="18"/>
      <color rgb="FF00B050"/>
      <name val="Calibri"/>
      <family val="2"/>
    </font>
    <font>
      <i/>
      <sz val="18"/>
      <color rgb="FF000000"/>
      <name val="ＭＳ Ｐゴシック"/>
      <family val="3"/>
      <charset val="128"/>
      <scheme val="minor"/>
    </font>
    <font>
      <sz val="16"/>
      <color rgb="FF000000"/>
      <name val="ＭＳ Ｐゴシック"/>
      <family val="2"/>
      <scheme val="minor"/>
    </font>
    <font>
      <b/>
      <sz val="18"/>
      <color rgb="FF4F81BD"/>
      <name val="ＭＳ Ｐゴシック"/>
      <family val="3"/>
      <charset val="128"/>
      <scheme val="minor"/>
    </font>
    <font>
      <b/>
      <sz val="20"/>
      <color theme="9" tint="-0.499984740745262"/>
      <name val="ＭＳ Ｐゴシック"/>
      <family val="3"/>
      <charset val="128"/>
    </font>
    <font>
      <b/>
      <sz val="20"/>
      <color theme="9" tint="-0.499984740745262"/>
      <name val="ＭＳ Ｐゴシック"/>
      <family val="3"/>
      <charset val="128"/>
      <scheme val="minor"/>
    </font>
    <font>
      <b/>
      <sz val="18"/>
      <color rgb="FF4F81BD"/>
      <name val="Segoe UI Symbol"/>
      <family val="3"/>
    </font>
    <font>
      <sz val="18"/>
      <name val="明朝"/>
      <family val="3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5117038483843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6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 style="thin">
        <color rgb="FF000000"/>
      </diagonal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68">
    <xf numFmtId="0" fontId="0" fillId="0" borderId="0"/>
    <xf numFmtId="0" fontId="2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7" fillId="0" borderId="0"/>
    <xf numFmtId="0" fontId="50" fillId="0" borderId="0"/>
    <xf numFmtId="0" fontId="7" fillId="0" borderId="0"/>
  </cellStyleXfs>
  <cellXfs count="407">
    <xf numFmtId="0" fontId="0" fillId="0" borderId="0" xfId="0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0" fontId="21" fillId="0" borderId="0" xfId="0" applyFont="1"/>
    <xf numFmtId="0" fontId="2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7" fillId="0" borderId="11" xfId="0" applyFont="1" applyBorder="1" applyAlignment="1">
      <alignment horizontal="center" vertical="center"/>
    </xf>
    <xf numFmtId="176" fontId="22" fillId="0" borderId="11" xfId="0" applyNumberFormat="1" applyFont="1" applyBorder="1" applyAlignment="1">
      <alignment horizontal="center" vertical="center" wrapText="1"/>
    </xf>
    <xf numFmtId="176" fontId="22" fillId="0" borderId="17" xfId="0" applyNumberFormat="1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/>
    </xf>
    <xf numFmtId="0" fontId="35" fillId="0" borderId="0" xfId="0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38" fillId="0" borderId="0" xfId="0" applyFont="1" applyAlignment="1">
      <alignment horizont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34" fillId="0" borderId="0" xfId="0" applyFont="1" applyAlignment="1">
      <alignment horizontal="left" wrapText="1"/>
    </xf>
    <xf numFmtId="0" fontId="38" fillId="0" borderId="0" xfId="0" applyFont="1" applyAlignment="1">
      <alignment horizontal="left" wrapText="1"/>
    </xf>
    <xf numFmtId="0" fontId="34" fillId="0" borderId="0" xfId="0" applyFont="1" applyAlignment="1">
      <alignment wrapText="1"/>
    </xf>
    <xf numFmtId="0" fontId="45" fillId="0" borderId="0" xfId="0" applyFont="1" applyAlignment="1">
      <alignment horizontal="center" wrapText="1"/>
    </xf>
    <xf numFmtId="0" fontId="46" fillId="0" borderId="0" xfId="0" applyFont="1" applyAlignment="1">
      <alignment wrapText="1"/>
    </xf>
    <xf numFmtId="0" fontId="47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11" xfId="66" applyFont="1" applyBorder="1" applyAlignment="1">
      <alignment horizontal="center" vertical="center" wrapText="1"/>
    </xf>
    <xf numFmtId="0" fontId="51" fillId="0" borderId="11" xfId="66" applyFont="1" applyBorder="1" applyAlignment="1">
      <alignment horizontal="center" vertical="center" wrapText="1"/>
    </xf>
    <xf numFmtId="0" fontId="25" fillId="0" borderId="11" xfId="66" applyFont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4" fillId="0" borderId="0" xfId="0" applyFont="1"/>
    <xf numFmtId="0" fontId="53" fillId="24" borderId="0" xfId="0" applyFont="1" applyFill="1" applyAlignment="1">
      <alignment horizontal="left" vertical="center" wrapText="1"/>
    </xf>
    <xf numFmtId="14" fontId="0" fillId="24" borderId="0" xfId="0" applyNumberFormat="1" applyFill="1" applyAlignment="1">
      <alignment vertical="center" wrapText="1"/>
    </xf>
    <xf numFmtId="0" fontId="0" fillId="24" borderId="0" xfId="0" applyFill="1"/>
    <xf numFmtId="0" fontId="22" fillId="24" borderId="11" xfId="66" applyFont="1" applyFill="1" applyBorder="1" applyAlignment="1">
      <alignment horizontal="center" vertical="center" wrapText="1"/>
    </xf>
    <xf numFmtId="0" fontId="25" fillId="24" borderId="11" xfId="66" applyFont="1" applyFill="1" applyBorder="1" applyAlignment="1">
      <alignment horizontal="center" vertical="center" wrapText="1"/>
    </xf>
    <xf numFmtId="0" fontId="55" fillId="0" borderId="15" xfId="0" applyFont="1" applyBorder="1" applyAlignment="1">
      <alignment horizontal="left" vertical="center" wrapText="1"/>
    </xf>
    <xf numFmtId="0" fontId="56" fillId="0" borderId="11" xfId="0" applyFont="1" applyBorder="1" applyAlignment="1">
      <alignment horizontal="left" vertical="center" wrapText="1"/>
    </xf>
    <xf numFmtId="0" fontId="56" fillId="0" borderId="11" xfId="0" applyFont="1" applyBorder="1" applyAlignment="1">
      <alignment vertical="center" wrapText="1"/>
    </xf>
    <xf numFmtId="0" fontId="56" fillId="0" borderId="15" xfId="0" applyFont="1" applyBorder="1" applyAlignment="1">
      <alignment horizontal="left" vertical="center" wrapText="1"/>
    </xf>
    <xf numFmtId="0" fontId="57" fillId="0" borderId="11" xfId="0" applyFont="1" applyBorder="1" applyAlignment="1">
      <alignment horizontal="left" vertical="center" wrapText="1"/>
    </xf>
    <xf numFmtId="0" fontId="56" fillId="0" borderId="13" xfId="0" applyFont="1" applyBorder="1" applyAlignment="1">
      <alignment horizontal="left" vertical="center" wrapText="1"/>
    </xf>
    <xf numFmtId="0" fontId="55" fillId="0" borderId="11" xfId="0" applyFont="1" applyBorder="1" applyAlignment="1">
      <alignment horizontal="left" vertical="center" wrapText="1"/>
    </xf>
    <xf numFmtId="0" fontId="56" fillId="0" borderId="10" xfId="0" applyFont="1" applyBorder="1" applyAlignment="1">
      <alignment vertical="center" wrapText="1"/>
    </xf>
    <xf numFmtId="0" fontId="58" fillId="0" borderId="10" xfId="0" applyFont="1" applyBorder="1" applyAlignment="1">
      <alignment vertical="center" wrapText="1"/>
    </xf>
    <xf numFmtId="0" fontId="58" fillId="0" borderId="0" xfId="0" applyFont="1"/>
    <xf numFmtId="0" fontId="60" fillId="0" borderId="11" xfId="0" applyFont="1" applyBorder="1" applyAlignment="1">
      <alignment horizontal="left" vertical="center" wrapText="1"/>
    </xf>
    <xf numFmtId="0" fontId="56" fillId="0" borderId="12" xfId="0" applyFont="1" applyBorder="1" applyAlignment="1">
      <alignment horizontal="left" vertical="center" wrapText="1"/>
    </xf>
    <xf numFmtId="0" fontId="61" fillId="0" borderId="11" xfId="0" applyFont="1" applyBorder="1" applyAlignment="1">
      <alignment horizontal="left" vertical="center" wrapText="1"/>
    </xf>
    <xf numFmtId="0" fontId="62" fillId="0" borderId="11" xfId="0" applyFont="1" applyBorder="1" applyAlignment="1">
      <alignment horizontal="left" vertical="center" wrapText="1"/>
    </xf>
    <xf numFmtId="0" fontId="59" fillId="0" borderId="11" xfId="0" applyFont="1" applyBorder="1" applyAlignment="1">
      <alignment horizontal="left" vertical="center" wrapText="1"/>
    </xf>
    <xf numFmtId="0" fontId="64" fillId="0" borderId="11" xfId="0" applyFont="1" applyBorder="1" applyAlignment="1">
      <alignment horizontal="left" vertical="center" wrapText="1"/>
    </xf>
    <xf numFmtId="0" fontId="65" fillId="0" borderId="11" xfId="0" applyFont="1" applyBorder="1" applyAlignment="1">
      <alignment horizontal="left" vertical="center" wrapText="1"/>
    </xf>
    <xf numFmtId="0" fontId="66" fillId="0" borderId="11" xfId="0" applyFont="1" applyBorder="1" applyAlignment="1">
      <alignment horizontal="left" vertical="center" wrapText="1"/>
    </xf>
    <xf numFmtId="0" fontId="56" fillId="0" borderId="11" xfId="0" applyFont="1" applyBorder="1" applyAlignment="1">
      <alignment vertical="center"/>
    </xf>
    <xf numFmtId="0" fontId="56" fillId="0" borderId="18" xfId="0" applyFont="1" applyBorder="1" applyAlignment="1">
      <alignment horizontal="left" vertical="center" wrapText="1"/>
    </xf>
    <xf numFmtId="0" fontId="56" fillId="0" borderId="16" xfId="0" applyFont="1" applyBorder="1" applyAlignment="1">
      <alignment horizontal="left" vertical="center" wrapText="1"/>
    </xf>
    <xf numFmtId="0" fontId="56" fillId="0" borderId="19" xfId="0" applyFont="1" applyBorder="1" applyAlignment="1">
      <alignment horizontal="left" vertical="center" wrapText="1"/>
    </xf>
    <xf numFmtId="0" fontId="56" fillId="0" borderId="21" xfId="0" applyFont="1" applyBorder="1" applyAlignment="1">
      <alignment horizontal="left" vertical="center" wrapText="1"/>
    </xf>
    <xf numFmtId="0" fontId="55" fillId="0" borderId="11" xfId="0" applyFont="1" applyBorder="1" applyAlignment="1">
      <alignment vertical="center" wrapText="1"/>
    </xf>
    <xf numFmtId="0" fontId="57" fillId="0" borderId="11" xfId="0" applyFont="1" applyBorder="1" applyAlignment="1">
      <alignment vertical="center" wrapText="1"/>
    </xf>
    <xf numFmtId="0" fontId="67" fillId="0" borderId="11" xfId="0" applyFont="1" applyBorder="1" applyAlignment="1">
      <alignment horizontal="left" vertical="center" wrapText="1"/>
    </xf>
    <xf numFmtId="0" fontId="59" fillId="0" borderId="15" xfId="0" applyFont="1" applyBorder="1" applyAlignment="1">
      <alignment horizontal="left" vertical="center" wrapText="1"/>
    </xf>
    <xf numFmtId="0" fontId="57" fillId="0" borderId="13" xfId="0" applyFont="1" applyBorder="1" applyAlignment="1">
      <alignment horizontal="left" vertical="center" wrapText="1"/>
    </xf>
    <xf numFmtId="0" fontId="55" fillId="0" borderId="15" xfId="0" applyFont="1" applyBorder="1" applyAlignment="1">
      <alignment vertical="center" wrapText="1"/>
    </xf>
    <xf numFmtId="0" fontId="59" fillId="0" borderId="11" xfId="0" applyFont="1" applyBorder="1" applyAlignment="1">
      <alignment vertical="center" wrapText="1"/>
    </xf>
    <xf numFmtId="0" fontId="56" fillId="0" borderId="15" xfId="0" applyFont="1" applyBorder="1" applyAlignment="1">
      <alignment vertical="center" wrapText="1"/>
    </xf>
    <xf numFmtId="0" fontId="69" fillId="0" borderId="11" xfId="0" applyFont="1" applyBorder="1" applyAlignment="1">
      <alignment horizontal="left" vertical="center" wrapText="1"/>
    </xf>
    <xf numFmtId="0" fontId="70" fillId="0" borderId="11" xfId="66" applyFont="1" applyBorder="1" applyAlignment="1">
      <alignment horizontal="center" vertical="center" wrapText="1"/>
    </xf>
    <xf numFmtId="0" fontId="69" fillId="0" borderId="15" xfId="0" applyFont="1" applyBorder="1" applyAlignment="1">
      <alignment horizontal="left" vertical="center" wrapText="1"/>
    </xf>
    <xf numFmtId="0" fontId="22" fillId="0" borderId="16" xfId="66" applyFont="1" applyBorder="1" applyAlignment="1">
      <alignment horizontal="center" vertical="center" wrapText="1"/>
    </xf>
    <xf numFmtId="0" fontId="56" fillId="0" borderId="22" xfId="0" applyFont="1" applyBorder="1" applyAlignment="1">
      <alignment horizontal="left" vertical="center" wrapText="1"/>
    </xf>
    <xf numFmtId="0" fontId="71" fillId="25" borderId="10" xfId="67" applyFont="1" applyFill="1" applyBorder="1" applyAlignment="1">
      <alignment horizontal="center"/>
    </xf>
    <xf numFmtId="0" fontId="71" fillId="0" borderId="10" xfId="67" applyFont="1" applyBorder="1" applyAlignment="1">
      <alignment horizontal="center" vertical="center" wrapText="1"/>
    </xf>
    <xf numFmtId="178" fontId="72" fillId="0" borderId="10" xfId="66" applyNumberFormat="1" applyFont="1" applyBorder="1" applyAlignment="1">
      <alignment horizontal="center" vertical="center"/>
    </xf>
    <xf numFmtId="14" fontId="72" fillId="0" borderId="10" xfId="66" applyNumberFormat="1" applyFont="1" applyBorder="1" applyAlignment="1">
      <alignment horizontal="center" vertical="center"/>
    </xf>
    <xf numFmtId="0" fontId="71" fillId="0" borderId="10" xfId="66" applyFont="1" applyBorder="1" applyAlignment="1">
      <alignment horizontal="center" vertical="center"/>
    </xf>
    <xf numFmtId="0" fontId="72" fillId="0" borderId="10" xfId="66" applyFont="1" applyBorder="1" applyAlignment="1">
      <alignment horizontal="center" vertical="center"/>
    </xf>
    <xf numFmtId="178" fontId="72" fillId="0" borderId="10" xfId="66" quotePrefix="1" applyNumberFormat="1" applyFont="1" applyBorder="1" applyAlignment="1">
      <alignment horizontal="center" vertical="center"/>
    </xf>
    <xf numFmtId="0" fontId="72" fillId="0" borderId="10" xfId="66" applyFont="1" applyBorder="1" applyAlignment="1">
      <alignment horizontal="center" vertical="center" wrapText="1"/>
    </xf>
    <xf numFmtId="14" fontId="72" fillId="0" borderId="10" xfId="66" applyNumberFormat="1" applyFont="1" applyBorder="1" applyAlignment="1">
      <alignment vertical="center"/>
    </xf>
    <xf numFmtId="176" fontId="30" fillId="0" borderId="23" xfId="0" applyNumberFormat="1" applyFont="1" applyBorder="1" applyAlignment="1">
      <alignment horizontal="center" vertical="center" wrapText="1"/>
    </xf>
    <xf numFmtId="0" fontId="22" fillId="0" borderId="23" xfId="66" applyFont="1" applyBorder="1" applyAlignment="1">
      <alignment horizontal="center" vertical="center" wrapText="1"/>
    </xf>
    <xf numFmtId="0" fontId="61" fillId="0" borderId="24" xfId="0" applyFont="1" applyBorder="1" applyAlignment="1">
      <alignment horizontal="left" vertical="center" wrapText="1" shrinkToFit="1"/>
    </xf>
    <xf numFmtId="0" fontId="71" fillId="25" borderId="10" xfId="67" applyFont="1" applyFill="1" applyBorder="1" applyAlignment="1">
      <alignment horizontal="center" wrapText="1"/>
    </xf>
    <xf numFmtId="0" fontId="72" fillId="0" borderId="0" xfId="66" applyFont="1" applyAlignment="1">
      <alignment vertical="center"/>
    </xf>
    <xf numFmtId="0" fontId="72" fillId="0" borderId="10" xfId="66" applyFont="1" applyBorder="1" applyAlignment="1">
      <alignment vertical="center"/>
    </xf>
    <xf numFmtId="0" fontId="72" fillId="0" borderId="0" xfId="66" applyFont="1" applyAlignment="1">
      <alignment horizontal="center" vertical="center"/>
    </xf>
    <xf numFmtId="0" fontId="38" fillId="0" borderId="0" xfId="65" applyFont="1" applyAlignment="1">
      <alignment horizontal="center" wrapText="1"/>
    </xf>
    <xf numFmtId="0" fontId="35" fillId="0" borderId="0" xfId="65" applyFont="1" applyAlignment="1">
      <alignment wrapText="1"/>
    </xf>
    <xf numFmtId="0" fontId="42" fillId="0" borderId="0" xfId="65" applyFont="1" applyAlignment="1">
      <alignment horizontal="center" vertical="center" wrapText="1"/>
    </xf>
    <xf numFmtId="0" fontId="49" fillId="0" borderId="0" xfId="65" applyFont="1" applyAlignment="1">
      <alignment vertical="top" wrapText="1"/>
    </xf>
    <xf numFmtId="0" fontId="56" fillId="0" borderId="14" xfId="0" applyFont="1" applyBorder="1" applyAlignment="1">
      <alignment horizontal="left" vertical="center" wrapText="1"/>
    </xf>
    <xf numFmtId="0" fontId="56" fillId="0" borderId="27" xfId="0" applyFont="1" applyBorder="1" applyAlignment="1">
      <alignment horizontal="left" vertical="center" wrapText="1"/>
    </xf>
    <xf numFmtId="0" fontId="56" fillId="0" borderId="13" xfId="0" applyFont="1" applyBorder="1" applyAlignment="1">
      <alignment vertical="center" wrapText="1"/>
    </xf>
    <xf numFmtId="0" fontId="56" fillId="0" borderId="34" xfId="0" applyFont="1" applyBorder="1" applyAlignment="1">
      <alignment horizontal="left" vertical="center" wrapText="1"/>
    </xf>
    <xf numFmtId="0" fontId="56" fillId="0" borderId="35" xfId="0" applyFont="1" applyBorder="1" applyAlignment="1">
      <alignment horizontal="left" vertical="center" wrapText="1"/>
    </xf>
    <xf numFmtId="0" fontId="56" fillId="0" borderId="0" xfId="0" applyFont="1" applyAlignment="1">
      <alignment horizontal="left" vertical="center" wrapText="1"/>
    </xf>
    <xf numFmtId="0" fontId="56" fillId="0" borderId="10" xfId="0" applyFont="1" applyBorder="1" applyAlignment="1">
      <alignment horizontal="left" vertical="center" wrapText="1"/>
    </xf>
    <xf numFmtId="0" fontId="55" fillId="0" borderId="10" xfId="0" applyFont="1" applyBorder="1" applyAlignment="1">
      <alignment horizontal="left" vertical="center" wrapText="1"/>
    </xf>
    <xf numFmtId="0" fontId="44" fillId="0" borderId="22" xfId="0" applyFont="1" applyBorder="1" applyAlignment="1">
      <alignment horizontal="center" vertical="center" wrapText="1" shrinkToFit="1"/>
    </xf>
    <xf numFmtId="0" fontId="44" fillId="0" borderId="10" xfId="0" applyFont="1" applyBorder="1" applyAlignment="1">
      <alignment horizontal="center" vertical="center" wrapText="1" shrinkToFit="1"/>
    </xf>
    <xf numFmtId="0" fontId="38" fillId="0" borderId="10" xfId="0" applyFont="1" applyBorder="1" applyAlignment="1">
      <alignment horizontal="center" vertical="center" wrapText="1" shrinkToFit="1"/>
    </xf>
    <xf numFmtId="0" fontId="27" fillId="0" borderId="37" xfId="0" applyFont="1" applyBorder="1" applyAlignment="1">
      <alignment horizontal="center" vertical="center"/>
    </xf>
    <xf numFmtId="0" fontId="27" fillId="0" borderId="14" xfId="0" applyFont="1" applyBorder="1" applyAlignment="1">
      <alignment vertical="center"/>
    </xf>
    <xf numFmtId="0" fontId="27" fillId="0" borderId="44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 wrapText="1"/>
    </xf>
    <xf numFmtId="0" fontId="56" fillId="0" borderId="0" xfId="0" applyFont="1" applyAlignment="1">
      <alignment vertical="center" wrapText="1"/>
    </xf>
    <xf numFmtId="0" fontId="29" fillId="0" borderId="46" xfId="0" applyFont="1" applyBorder="1" applyAlignment="1">
      <alignment horizontal="center" vertical="center" wrapText="1"/>
    </xf>
    <xf numFmtId="0" fontId="69" fillId="0" borderId="0" xfId="0" applyFont="1" applyAlignment="1">
      <alignment vertical="center" wrapText="1"/>
    </xf>
    <xf numFmtId="0" fontId="29" fillId="0" borderId="40" xfId="0" applyFont="1" applyBorder="1" applyAlignment="1">
      <alignment horizontal="center" vertical="center" wrapText="1"/>
    </xf>
    <xf numFmtId="0" fontId="22" fillId="0" borderId="12" xfId="66" applyFont="1" applyBorder="1" applyAlignment="1">
      <alignment horizontal="center" vertical="center" wrapText="1"/>
    </xf>
    <xf numFmtId="176" fontId="30" fillId="0" borderId="47" xfId="0" applyNumberFormat="1" applyFont="1" applyBorder="1" applyAlignment="1">
      <alignment horizontal="center" vertical="center" wrapText="1"/>
    </xf>
    <xf numFmtId="0" fontId="30" fillId="0" borderId="47" xfId="0" applyFont="1" applyBorder="1" applyAlignment="1">
      <alignment horizontal="center" vertical="center" wrapText="1"/>
    </xf>
    <xf numFmtId="0" fontId="59" fillId="0" borderId="12" xfId="0" applyFont="1" applyBorder="1" applyAlignment="1">
      <alignment horizontal="left" vertical="center" wrapText="1"/>
    </xf>
    <xf numFmtId="0" fontId="29" fillId="0" borderId="28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2" fillId="24" borderId="13" xfId="66" applyFont="1" applyFill="1" applyBorder="1" applyAlignment="1">
      <alignment horizontal="center" vertical="center" wrapText="1"/>
    </xf>
    <xf numFmtId="0" fontId="55" fillId="0" borderId="13" xfId="0" applyFont="1" applyBorder="1" applyAlignment="1">
      <alignment horizontal="left" vertical="center" wrapText="1"/>
    </xf>
    <xf numFmtId="0" fontId="22" fillId="0" borderId="13" xfId="66" applyFont="1" applyBorder="1" applyAlignment="1">
      <alignment horizontal="center" vertical="center" wrapText="1"/>
    </xf>
    <xf numFmtId="0" fontId="22" fillId="0" borderId="15" xfId="66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22" fillId="0" borderId="27" xfId="66" applyFont="1" applyBorder="1" applyAlignment="1">
      <alignment horizontal="center" vertical="center" wrapText="1"/>
    </xf>
    <xf numFmtId="0" fontId="55" fillId="0" borderId="27" xfId="0" applyFont="1" applyBorder="1" applyAlignment="1">
      <alignment horizontal="left" vertical="center" wrapText="1"/>
    </xf>
    <xf numFmtId="0" fontId="29" fillId="0" borderId="49" xfId="0" applyFont="1" applyBorder="1" applyAlignment="1">
      <alignment horizontal="center" vertical="center" wrapText="1"/>
    </xf>
    <xf numFmtId="0" fontId="22" fillId="24" borderId="15" xfId="66" applyFont="1" applyFill="1" applyBorder="1" applyAlignment="1">
      <alignment horizontal="center" vertical="center" wrapText="1"/>
    </xf>
    <xf numFmtId="0" fontId="56" fillId="0" borderId="32" xfId="0" applyFont="1" applyBorder="1" applyAlignment="1">
      <alignment horizontal="left" vertical="center" wrapText="1"/>
    </xf>
    <xf numFmtId="0" fontId="56" fillId="0" borderId="50" xfId="0" applyFont="1" applyBorder="1" applyAlignment="1">
      <alignment horizontal="left" vertical="center" wrapText="1"/>
    </xf>
    <xf numFmtId="0" fontId="59" fillId="0" borderId="10" xfId="0" applyFont="1" applyBorder="1" applyAlignment="1">
      <alignment vertical="center" wrapText="1"/>
    </xf>
    <xf numFmtId="176" fontId="68" fillId="0" borderId="22" xfId="0" applyNumberFormat="1" applyFont="1" applyBorder="1" applyAlignment="1">
      <alignment horizontal="center" vertical="center" wrapText="1"/>
    </xf>
    <xf numFmtId="176" fontId="61" fillId="0" borderId="22" xfId="0" applyNumberFormat="1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 shrinkToFit="1"/>
    </xf>
    <xf numFmtId="0" fontId="61" fillId="0" borderId="10" xfId="0" applyFont="1" applyBorder="1" applyAlignment="1">
      <alignment horizontal="center" vertical="center" wrapText="1" shrinkToFit="1"/>
    </xf>
    <xf numFmtId="0" fontId="29" fillId="0" borderId="39" xfId="0" applyFont="1" applyBorder="1" applyAlignment="1">
      <alignment horizontal="center" vertical="center" wrapText="1"/>
    </xf>
    <xf numFmtId="176" fontId="22" fillId="0" borderId="47" xfId="0" applyNumberFormat="1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5" fillId="0" borderId="13" xfId="66" applyFont="1" applyBorder="1" applyAlignment="1">
      <alignment horizontal="center" vertical="center" wrapText="1"/>
    </xf>
    <xf numFmtId="0" fontId="25" fillId="0" borderId="15" xfId="66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5" fillId="0" borderId="27" xfId="66" applyFont="1" applyBorder="1" applyAlignment="1">
      <alignment horizontal="center" vertical="center" wrapText="1"/>
    </xf>
    <xf numFmtId="0" fontId="22" fillId="24" borderId="27" xfId="66" applyFont="1" applyFill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69" fillId="0" borderId="27" xfId="0" applyFont="1" applyBorder="1" applyAlignment="1">
      <alignment horizontal="left" vertical="center" wrapText="1"/>
    </xf>
    <xf numFmtId="0" fontId="57" fillId="0" borderId="0" xfId="0" applyFont="1" applyAlignment="1">
      <alignment horizontal="left" vertical="center" wrapText="1"/>
    </xf>
    <xf numFmtId="0" fontId="57" fillId="0" borderId="20" xfId="0" applyFont="1" applyBorder="1" applyAlignment="1">
      <alignment horizontal="left" vertical="center" wrapText="1"/>
    </xf>
    <xf numFmtId="0" fontId="74" fillId="0" borderId="11" xfId="66" applyFont="1" applyBorder="1" applyAlignment="1">
      <alignment horizontal="left" vertical="center" wrapText="1"/>
    </xf>
    <xf numFmtId="0" fontId="22" fillId="0" borderId="30" xfId="66" applyFont="1" applyBorder="1" applyAlignment="1">
      <alignment horizontal="center" vertical="center" wrapText="1"/>
    </xf>
    <xf numFmtId="0" fontId="25" fillId="0" borderId="30" xfId="66" applyFont="1" applyBorder="1" applyAlignment="1">
      <alignment horizontal="center" vertical="center" wrapText="1"/>
    </xf>
    <xf numFmtId="0" fontId="56" fillId="0" borderId="33" xfId="0" applyFont="1" applyBorder="1" applyAlignment="1">
      <alignment horizontal="left" vertical="center" wrapText="1"/>
    </xf>
    <xf numFmtId="0" fontId="30" fillId="0" borderId="11" xfId="66" applyFont="1" applyBorder="1" applyAlignment="1">
      <alignment horizontal="center" vertical="center" wrapText="1"/>
    </xf>
    <xf numFmtId="0" fontId="76" fillId="0" borderId="11" xfId="66" applyFont="1" applyBorder="1" applyAlignment="1">
      <alignment horizontal="center" vertical="center" wrapText="1"/>
    </xf>
    <xf numFmtId="0" fontId="63" fillId="0" borderId="10" xfId="0" applyFont="1" applyBorder="1" applyAlignment="1">
      <alignment horizontal="left" vertical="center" wrapText="1"/>
    </xf>
    <xf numFmtId="0" fontId="56" fillId="0" borderId="13" xfId="0" applyFont="1" applyBorder="1" applyAlignment="1">
      <alignment vertical="center"/>
    </xf>
    <xf numFmtId="0" fontId="29" fillId="0" borderId="54" xfId="0" applyFont="1" applyBorder="1" applyAlignment="1">
      <alignment horizontal="center" vertical="center" wrapText="1"/>
    </xf>
    <xf numFmtId="0" fontId="56" fillId="0" borderId="10" xfId="0" applyFont="1" applyBorder="1" applyAlignment="1">
      <alignment vertical="center"/>
    </xf>
    <xf numFmtId="0" fontId="78" fillId="0" borderId="10" xfId="0" applyFont="1" applyBorder="1" applyAlignment="1">
      <alignment vertical="center"/>
    </xf>
    <xf numFmtId="0" fontId="64" fillId="26" borderId="11" xfId="0" applyFont="1" applyFill="1" applyBorder="1" applyAlignment="1">
      <alignment horizontal="left" vertical="center" wrapText="1"/>
    </xf>
    <xf numFmtId="0" fontId="55" fillId="0" borderId="50" xfId="0" applyFont="1" applyBorder="1" applyAlignment="1">
      <alignment horizontal="left" vertical="center" wrapText="1"/>
    </xf>
    <xf numFmtId="0" fontId="22" fillId="0" borderId="32" xfId="66" applyFont="1" applyBorder="1" applyAlignment="1">
      <alignment horizontal="center" vertical="center" wrapText="1"/>
    </xf>
    <xf numFmtId="0" fontId="55" fillId="0" borderId="33" xfId="0" applyFont="1" applyBorder="1" applyAlignment="1">
      <alignment horizontal="left" vertical="center" wrapText="1"/>
    </xf>
    <xf numFmtId="0" fontId="22" fillId="24" borderId="16" xfId="66" applyFont="1" applyFill="1" applyBorder="1" applyAlignment="1">
      <alignment horizontal="center" vertical="center" wrapText="1"/>
    </xf>
    <xf numFmtId="0" fontId="59" fillId="0" borderId="30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center" vertical="center" wrapText="1"/>
    </xf>
    <xf numFmtId="0" fontId="55" fillId="0" borderId="14" xfId="0" applyFont="1" applyBorder="1" applyAlignment="1">
      <alignment horizontal="left" vertical="center" wrapText="1"/>
    </xf>
    <xf numFmtId="0" fontId="56" fillId="0" borderId="11" xfId="0" applyFont="1" applyBorder="1" applyAlignment="1">
      <alignment horizontal="left" vertical="center"/>
    </xf>
    <xf numFmtId="0" fontId="59" fillId="0" borderId="10" xfId="0" applyFont="1" applyBorder="1" applyAlignment="1">
      <alignment vertical="center"/>
    </xf>
    <xf numFmtId="0" fontId="62" fillId="0" borderId="52" xfId="0" applyFont="1" applyBorder="1" applyAlignment="1">
      <alignment horizontal="left" vertical="center" wrapText="1"/>
    </xf>
    <xf numFmtId="176" fontId="22" fillId="0" borderId="55" xfId="0" applyNumberFormat="1" applyFont="1" applyBorder="1" applyAlignment="1">
      <alignment horizontal="center" vertical="center" wrapText="1"/>
    </xf>
    <xf numFmtId="0" fontId="22" fillId="0" borderId="10" xfId="66" applyFont="1" applyBorder="1" applyAlignment="1">
      <alignment horizontal="center" vertical="center" wrapText="1"/>
    </xf>
    <xf numFmtId="0" fontId="55" fillId="26" borderId="11" xfId="0" applyFont="1" applyFill="1" applyBorder="1" applyAlignment="1">
      <alignment horizontal="left" vertical="center" wrapText="1"/>
    </xf>
    <xf numFmtId="0" fontId="56" fillId="27" borderId="18" xfId="0" applyFont="1" applyFill="1" applyBorder="1" applyAlignment="1">
      <alignment horizontal="left" vertical="center" wrapText="1"/>
    </xf>
    <xf numFmtId="0" fontId="56" fillId="27" borderId="10" xfId="0" applyFont="1" applyFill="1" applyBorder="1" applyAlignment="1">
      <alignment horizontal="left" vertical="center" wrapText="1"/>
    </xf>
    <xf numFmtId="0" fontId="56" fillId="27" borderId="17" xfId="0" applyFont="1" applyFill="1" applyBorder="1" applyAlignment="1">
      <alignment horizontal="left" vertical="center" wrapText="1"/>
    </xf>
    <xf numFmtId="0" fontId="56" fillId="28" borderId="13" xfId="0" applyFont="1" applyFill="1" applyBorder="1" applyAlignment="1">
      <alignment horizontal="left" vertical="center" wrapText="1"/>
    </xf>
    <xf numFmtId="0" fontId="56" fillId="28" borderId="11" xfId="0" applyFont="1" applyFill="1" applyBorder="1" applyAlignment="1">
      <alignment horizontal="left" vertical="center" wrapText="1"/>
    </xf>
    <xf numFmtId="0" fontId="79" fillId="0" borderId="11" xfId="0" applyFont="1" applyBorder="1" applyAlignment="1">
      <alignment horizontal="left" vertical="center" wrapText="1"/>
    </xf>
    <xf numFmtId="0" fontId="83" fillId="0" borderId="0" xfId="0" applyFont="1" applyAlignment="1">
      <alignment horizontal="left" vertical="center"/>
    </xf>
    <xf numFmtId="0" fontId="84" fillId="0" borderId="0" xfId="0" applyFont="1" applyAlignment="1">
      <alignment horizontal="left" vertical="center"/>
    </xf>
    <xf numFmtId="0" fontId="90" fillId="0" borderId="11" xfId="0" applyFont="1" applyBorder="1" applyAlignment="1">
      <alignment horizontal="left" vertical="center" wrapText="1"/>
    </xf>
    <xf numFmtId="14" fontId="91" fillId="0" borderId="0" xfId="0" applyNumberFormat="1" applyFont="1" applyAlignment="1">
      <alignment horizontal="center" vertical="center"/>
    </xf>
    <xf numFmtId="0" fontId="31" fillId="0" borderId="11" xfId="0" applyFont="1" applyBorder="1" applyAlignment="1">
      <alignment horizontal="left" vertical="center" wrapText="1"/>
    </xf>
    <xf numFmtId="0" fontId="92" fillId="0" borderId="0" xfId="0" applyFont="1" applyAlignment="1">
      <alignment vertical="center"/>
    </xf>
    <xf numFmtId="0" fontId="93" fillId="0" borderId="16" xfId="0" applyFont="1" applyBorder="1" applyAlignment="1">
      <alignment horizontal="left" vertical="center" wrapText="1"/>
    </xf>
    <xf numFmtId="0" fontId="93" fillId="0" borderId="19" xfId="0" applyFont="1" applyBorder="1" applyAlignment="1">
      <alignment horizontal="left" vertical="center" wrapText="1"/>
    </xf>
    <xf numFmtId="0" fontId="68" fillId="0" borderId="11" xfId="0" applyFont="1" applyBorder="1" applyAlignment="1">
      <alignment horizontal="left" vertical="center" wrapText="1"/>
    </xf>
    <xf numFmtId="0" fontId="96" fillId="0" borderId="0" xfId="0" applyFont="1" applyAlignment="1">
      <alignment horizontal="left" vertical="center"/>
    </xf>
    <xf numFmtId="0" fontId="0" fillId="0" borderId="11" xfId="0" applyBorder="1"/>
    <xf numFmtId="0" fontId="55" fillId="0" borderId="25" xfId="0" applyFont="1" applyBorder="1" applyAlignment="1">
      <alignment vertical="center" wrapText="1"/>
    </xf>
    <xf numFmtId="0" fontId="100" fillId="0" borderId="11" xfId="0" applyFont="1" applyBorder="1" applyAlignment="1">
      <alignment horizontal="left" vertical="center" wrapText="1"/>
    </xf>
    <xf numFmtId="0" fontId="88" fillId="0" borderId="11" xfId="0" applyFont="1" applyBorder="1" applyAlignment="1">
      <alignment horizontal="left" vertical="center" wrapText="1"/>
    </xf>
    <xf numFmtId="0" fontId="102" fillId="0" borderId="15" xfId="0" applyFont="1" applyBorder="1" applyAlignment="1">
      <alignment horizontal="left" vertical="center" wrapText="1"/>
    </xf>
    <xf numFmtId="0" fontId="87" fillId="0" borderId="15" xfId="0" applyFont="1" applyBorder="1" applyAlignment="1">
      <alignment horizontal="left" vertical="center" wrapText="1"/>
    </xf>
    <xf numFmtId="0" fontId="31" fillId="0" borderId="0" xfId="0" applyFont="1" applyAlignment="1">
      <alignment vertical="center" wrapText="1"/>
    </xf>
    <xf numFmtId="0" fontId="56" fillId="0" borderId="56" xfId="0" applyFont="1" applyBorder="1" applyAlignment="1">
      <alignment horizontal="left" vertical="center" wrapText="1"/>
    </xf>
    <xf numFmtId="0" fontId="56" fillId="0" borderId="57" xfId="0" applyFont="1" applyBorder="1" applyAlignment="1">
      <alignment horizontal="left" vertical="center" wrapText="1"/>
    </xf>
    <xf numFmtId="0" fontId="63" fillId="0" borderId="20" xfId="0" applyFont="1" applyBorder="1" applyAlignment="1">
      <alignment horizontal="left" vertical="center" wrapText="1"/>
    </xf>
    <xf numFmtId="0" fontId="89" fillId="0" borderId="58" xfId="0" applyFont="1" applyBorder="1" applyAlignment="1">
      <alignment horizontal="left" vertical="center" wrapText="1"/>
    </xf>
    <xf numFmtId="0" fontId="56" fillId="0" borderId="59" xfId="0" applyFont="1" applyBorder="1" applyAlignment="1">
      <alignment horizontal="left" vertical="center" wrapText="1"/>
    </xf>
    <xf numFmtId="0" fontId="56" fillId="0" borderId="60" xfId="0" applyFont="1" applyBorder="1" applyAlignment="1">
      <alignment horizontal="left" vertical="center" wrapText="1"/>
    </xf>
    <xf numFmtId="0" fontId="56" fillId="0" borderId="61" xfId="0" applyFont="1" applyBorder="1" applyAlignment="1">
      <alignment horizontal="left" vertical="center" wrapText="1"/>
    </xf>
    <xf numFmtId="0" fontId="87" fillId="0" borderId="11" xfId="0" applyFont="1" applyBorder="1" applyAlignment="1">
      <alignment horizontal="left" vertical="center" wrapText="1"/>
    </xf>
    <xf numFmtId="0" fontId="104" fillId="0" borderId="11" xfId="0" applyFont="1" applyBorder="1" applyAlignment="1">
      <alignment horizontal="left" vertical="center" wrapText="1"/>
    </xf>
    <xf numFmtId="178" fontId="71" fillId="25" borderId="10" xfId="67" applyNumberFormat="1" applyFont="1" applyFill="1" applyBorder="1" applyAlignment="1">
      <alignment horizontal="center" wrapText="1"/>
    </xf>
    <xf numFmtId="178" fontId="71" fillId="0" borderId="10" xfId="67" applyNumberFormat="1" applyFont="1" applyBorder="1" applyAlignment="1">
      <alignment horizontal="center" vertical="center" wrapText="1"/>
    </xf>
    <xf numFmtId="178" fontId="72" fillId="0" borderId="25" xfId="66" applyNumberFormat="1" applyFont="1" applyBorder="1" applyAlignment="1">
      <alignment horizontal="center" vertical="center"/>
    </xf>
    <xf numFmtId="178" fontId="72" fillId="0" borderId="0" xfId="66" applyNumberFormat="1" applyFont="1" applyAlignment="1">
      <alignment horizontal="center" vertical="center"/>
    </xf>
    <xf numFmtId="0" fontId="22" fillId="0" borderId="15" xfId="0" applyFont="1" applyBorder="1" applyAlignment="1">
      <alignment horizontal="left" vertical="center" wrapText="1"/>
    </xf>
    <xf numFmtId="0" fontId="55" fillId="0" borderId="21" xfId="0" applyFont="1" applyBorder="1" applyAlignment="1">
      <alignment horizontal="left" vertical="center" wrapText="1"/>
    </xf>
    <xf numFmtId="0" fontId="22" fillId="29" borderId="27" xfId="66" applyFont="1" applyFill="1" applyBorder="1" applyAlignment="1">
      <alignment horizontal="center" vertical="center" wrapText="1"/>
    </xf>
    <xf numFmtId="176" fontId="22" fillId="0" borderId="29" xfId="0" applyNumberFormat="1" applyFont="1" applyBorder="1" applyAlignment="1">
      <alignment horizontal="center" vertical="center" wrapText="1"/>
    </xf>
    <xf numFmtId="0" fontId="106" fillId="0" borderId="11" xfId="66" applyFont="1" applyBorder="1" applyAlignment="1">
      <alignment horizontal="center" vertical="center" wrapText="1"/>
    </xf>
    <xf numFmtId="0" fontId="56" fillId="0" borderId="28" xfId="0" applyFont="1" applyBorder="1" applyAlignment="1">
      <alignment vertical="center" wrapText="1"/>
    </xf>
    <xf numFmtId="0" fontId="56" fillId="0" borderId="26" xfId="0" applyFont="1" applyBorder="1" applyAlignment="1">
      <alignment horizontal="left" vertical="center" wrapText="1"/>
    </xf>
    <xf numFmtId="0" fontId="107" fillId="0" borderId="11" xfId="66" applyFont="1" applyBorder="1" applyAlignment="1">
      <alignment horizontal="center" vertical="center" wrapText="1"/>
    </xf>
    <xf numFmtId="0" fontId="106" fillId="0" borderId="27" xfId="66" applyFont="1" applyBorder="1" applyAlignment="1">
      <alignment horizontal="center" vertical="center" wrapText="1"/>
    </xf>
    <xf numFmtId="0" fontId="62" fillId="0" borderId="13" xfId="0" applyFont="1" applyBorder="1" applyAlignment="1">
      <alignment horizontal="left" vertical="center" wrapText="1"/>
    </xf>
    <xf numFmtId="0" fontId="108" fillId="0" borderId="11" xfId="0" applyFont="1" applyBorder="1" applyAlignment="1">
      <alignment horizontal="left" vertical="center" wrapText="1"/>
    </xf>
    <xf numFmtId="0" fontId="99" fillId="0" borderId="13" xfId="0" applyFont="1" applyBorder="1" applyAlignment="1">
      <alignment horizontal="left" vertical="center" wrapText="1"/>
    </xf>
    <xf numFmtId="0" fontId="31" fillId="0" borderId="16" xfId="0" applyFont="1" applyBorder="1" applyAlignment="1">
      <alignment vertical="center" wrapText="1"/>
    </xf>
    <xf numFmtId="0" fontId="62" fillId="0" borderId="14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left" vertical="center" wrapText="1"/>
    </xf>
    <xf numFmtId="0" fontId="111" fillId="0" borderId="11" xfId="0" applyFont="1" applyBorder="1" applyAlignment="1">
      <alignment horizontal="left" vertical="center" wrapText="1"/>
    </xf>
    <xf numFmtId="0" fontId="110" fillId="0" borderId="11" xfId="0" applyFont="1" applyBorder="1" applyAlignment="1">
      <alignment horizontal="left" vertical="center" wrapText="1"/>
    </xf>
    <xf numFmtId="0" fontId="56" fillId="0" borderId="25" xfId="0" applyFont="1" applyBorder="1" applyAlignment="1">
      <alignment vertical="center" wrapText="1"/>
    </xf>
    <xf numFmtId="0" fontId="72" fillId="0" borderId="10" xfId="66" applyFont="1" applyBorder="1" applyAlignment="1">
      <alignment horizontal="left" vertical="center"/>
    </xf>
    <xf numFmtId="176" fontId="113" fillId="0" borderId="22" xfId="0" applyNumberFormat="1" applyFont="1" applyBorder="1" applyAlignment="1">
      <alignment horizontal="center" vertical="center" wrapText="1"/>
    </xf>
    <xf numFmtId="0" fontId="116" fillId="0" borderId="11" xfId="0" applyFont="1" applyBorder="1" applyAlignment="1">
      <alignment horizontal="left" vertical="center" wrapText="1"/>
    </xf>
    <xf numFmtId="0" fontId="103" fillId="0" borderId="13" xfId="0" applyFont="1" applyBorder="1" applyAlignment="1">
      <alignment horizontal="left" vertical="center" wrapText="1"/>
    </xf>
    <xf numFmtId="0" fontId="88" fillId="0" borderId="15" xfId="0" applyFont="1" applyBorder="1" applyAlignment="1">
      <alignment horizontal="left" vertical="center" wrapText="1"/>
    </xf>
    <xf numFmtId="0" fontId="111" fillId="0" borderId="16" xfId="0" applyFont="1" applyBorder="1" applyAlignment="1">
      <alignment horizontal="left" vertical="center" wrapText="1"/>
    </xf>
    <xf numFmtId="0" fontId="31" fillId="0" borderId="27" xfId="0" applyFont="1" applyBorder="1" applyAlignment="1">
      <alignment horizontal="left" vertical="center" wrapText="1"/>
    </xf>
    <xf numFmtId="0" fontId="31" fillId="0" borderId="36" xfId="0" applyFont="1" applyBorder="1" applyAlignment="1">
      <alignment horizontal="left" vertical="center" wrapText="1"/>
    </xf>
    <xf numFmtId="0" fontId="111" fillId="0" borderId="20" xfId="0" applyFont="1" applyBorder="1" applyAlignment="1">
      <alignment horizontal="left" vertical="center" wrapText="1"/>
    </xf>
    <xf numFmtId="0" fontId="118" fillId="0" borderId="11" xfId="66" applyFont="1" applyBorder="1" applyAlignment="1">
      <alignment horizontal="left" vertical="center" wrapText="1"/>
    </xf>
    <xf numFmtId="0" fontId="31" fillId="0" borderId="13" xfId="0" applyFont="1" applyBorder="1" applyAlignment="1">
      <alignment horizontal="left" vertical="center" wrapText="1"/>
    </xf>
    <xf numFmtId="0" fontId="89" fillId="0" borderId="11" xfId="0" applyFont="1" applyBorder="1" applyAlignment="1">
      <alignment horizontal="left" vertical="center" wrapText="1"/>
    </xf>
    <xf numFmtId="0" fontId="59" fillId="0" borderId="50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102" fillId="0" borderId="13" xfId="0" applyFont="1" applyBorder="1" applyAlignment="1">
      <alignment horizontal="left" vertical="center" wrapText="1"/>
    </xf>
    <xf numFmtId="0" fontId="56" fillId="0" borderId="62" xfId="0" applyFont="1" applyBorder="1" applyAlignment="1">
      <alignment horizontal="left" vertical="center" wrapText="1"/>
    </xf>
    <xf numFmtId="0" fontId="22" fillId="0" borderId="38" xfId="66" applyFont="1" applyBorder="1" applyAlignment="1">
      <alignment horizontal="center" vertical="center" wrapText="1"/>
    </xf>
    <xf numFmtId="0" fontId="22" fillId="0" borderId="39" xfId="66" applyFont="1" applyBorder="1" applyAlignment="1">
      <alignment horizontal="center" vertical="center" wrapText="1"/>
    </xf>
    <xf numFmtId="0" fontId="22" fillId="0" borderId="31" xfId="66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/>
    </xf>
    <xf numFmtId="0" fontId="106" fillId="0" borderId="13" xfId="66" applyFont="1" applyBorder="1" applyAlignment="1">
      <alignment horizontal="center" vertical="center" wrapText="1"/>
    </xf>
    <xf numFmtId="0" fontId="56" fillId="0" borderId="27" xfId="0" applyFont="1" applyBorder="1" applyAlignment="1">
      <alignment vertical="center" wrapText="1"/>
    </xf>
    <xf numFmtId="0" fontId="78" fillId="0" borderId="15" xfId="0" applyFont="1" applyBorder="1" applyAlignment="1">
      <alignment horizontal="left" vertical="center" wrapText="1"/>
    </xf>
    <xf numFmtId="0" fontId="122" fillId="0" borderId="11" xfId="0" applyFont="1" applyBorder="1" applyAlignment="1">
      <alignment horizontal="left" vertical="center" wrapText="1"/>
    </xf>
    <xf numFmtId="0" fontId="62" fillId="0" borderId="16" xfId="0" applyFont="1" applyBorder="1" applyAlignment="1">
      <alignment horizontal="left" vertical="center" wrapText="1"/>
    </xf>
    <xf numFmtId="0" fontId="62" fillId="0" borderId="12" xfId="0" applyFont="1" applyBorder="1" applyAlignment="1">
      <alignment horizontal="left" vertical="center" wrapText="1"/>
    </xf>
    <xf numFmtId="0" fontId="112" fillId="0" borderId="11" xfId="0" applyFont="1" applyBorder="1" applyAlignment="1">
      <alignment horizontal="left" vertical="center" wrapText="1"/>
    </xf>
    <xf numFmtId="0" fontId="110" fillId="0" borderId="12" xfId="0" applyFont="1" applyBorder="1" applyAlignment="1">
      <alignment horizontal="left" vertical="center" wrapText="1"/>
    </xf>
    <xf numFmtId="0" fontId="124" fillId="0" borderId="52" xfId="0" applyFont="1" applyBorder="1"/>
    <xf numFmtId="14" fontId="124" fillId="0" borderId="52" xfId="0" applyNumberFormat="1" applyFont="1" applyBorder="1"/>
    <xf numFmtId="14" fontId="54" fillId="0" borderId="22" xfId="0" applyNumberFormat="1" applyFont="1" applyBorder="1" applyAlignment="1">
      <alignment wrapText="1"/>
    </xf>
    <xf numFmtId="0" fontId="54" fillId="0" borderId="52" xfId="0" applyFont="1" applyBorder="1" applyAlignment="1">
      <alignment wrapText="1"/>
    </xf>
    <xf numFmtId="0" fontId="124" fillId="0" borderId="51" xfId="0" applyFont="1" applyBorder="1"/>
    <xf numFmtId="14" fontId="124" fillId="0" borderId="51" xfId="0" applyNumberFormat="1" applyFont="1" applyBorder="1"/>
    <xf numFmtId="0" fontId="54" fillId="0" borderId="51" xfId="0" applyFont="1" applyBorder="1"/>
    <xf numFmtId="0" fontId="124" fillId="0" borderId="22" xfId="0" applyFont="1" applyBorder="1"/>
    <xf numFmtId="14" fontId="124" fillId="0" borderId="22" xfId="0" applyNumberFormat="1" applyFont="1" applyBorder="1"/>
    <xf numFmtId="0" fontId="54" fillId="0" borderId="51" xfId="0" applyFont="1" applyBorder="1" applyAlignment="1">
      <alignment wrapText="1"/>
    </xf>
    <xf numFmtId="0" fontId="72" fillId="0" borderId="10" xfId="66" applyFont="1" applyBorder="1" applyAlignment="1">
      <alignment vertical="center" wrapText="1"/>
    </xf>
    <xf numFmtId="0" fontId="110" fillId="0" borderId="13" xfId="0" applyFont="1" applyBorder="1" applyAlignment="1">
      <alignment horizontal="left" vertical="center" wrapText="1"/>
    </xf>
    <xf numFmtId="0" fontId="114" fillId="0" borderId="11" xfId="0" applyFont="1" applyBorder="1" applyAlignment="1">
      <alignment horizontal="left" vertical="center" wrapText="1"/>
    </xf>
    <xf numFmtId="0" fontId="125" fillId="0" borderId="0" xfId="0" applyFont="1" applyAlignment="1">
      <alignment horizontal="center"/>
    </xf>
    <xf numFmtId="0" fontId="126" fillId="0" borderId="11" xfId="0" applyFont="1" applyBorder="1" applyAlignment="1">
      <alignment horizontal="left" vertical="center" wrapText="1"/>
    </xf>
    <xf numFmtId="0" fontId="126" fillId="0" borderId="11" xfId="0" applyFont="1" applyBorder="1" applyAlignment="1">
      <alignment vertical="center" wrapText="1"/>
    </xf>
    <xf numFmtId="0" fontId="126" fillId="0" borderId="10" xfId="0" applyFont="1" applyBorder="1" applyAlignment="1">
      <alignment vertical="center" wrapText="1"/>
    </xf>
    <xf numFmtId="0" fontId="126" fillId="0" borderId="16" xfId="0" applyFont="1" applyBorder="1" applyAlignment="1">
      <alignment horizontal="left" vertical="center" wrapText="1"/>
    </xf>
    <xf numFmtId="0" fontId="126" fillId="0" borderId="15" xfId="0" applyFont="1" applyBorder="1" applyAlignment="1">
      <alignment horizontal="left" vertical="center" wrapText="1"/>
    </xf>
    <xf numFmtId="0" fontId="126" fillId="0" borderId="22" xfId="0" applyFont="1" applyBorder="1" applyAlignment="1">
      <alignment horizontal="left" vertical="center" wrapText="1"/>
    </xf>
    <xf numFmtId="0" fontId="126" fillId="0" borderId="0" xfId="0" applyFont="1" applyAlignment="1">
      <alignment vertical="center" wrapText="1"/>
    </xf>
    <xf numFmtId="0" fontId="126" fillId="0" borderId="0" xfId="0" applyFont="1" applyAlignment="1">
      <alignment horizontal="left" vertical="center" wrapText="1"/>
    </xf>
    <xf numFmtId="0" fontId="119" fillId="0" borderId="10" xfId="0" applyFont="1" applyBorder="1" applyAlignment="1">
      <alignment vertical="center" wrapText="1"/>
    </xf>
    <xf numFmtId="0" fontId="117" fillId="0" borderId="17" xfId="0" applyFont="1" applyBorder="1" applyAlignment="1">
      <alignment horizontal="left" vertical="center" wrapText="1"/>
    </xf>
    <xf numFmtId="0" fontId="127" fillId="0" borderId="15" xfId="0" applyFont="1" applyBorder="1" applyAlignment="1">
      <alignment horizontal="left" vertical="center" wrapText="1"/>
    </xf>
    <xf numFmtId="0" fontId="123" fillId="0" borderId="11" xfId="0" applyFont="1" applyBorder="1" applyAlignment="1">
      <alignment horizontal="left" vertical="center" wrapText="1"/>
    </xf>
    <xf numFmtId="0" fontId="128" fillId="0" borderId="15" xfId="0" applyFont="1" applyBorder="1" applyAlignment="1">
      <alignment horizontal="left" vertical="center" wrapText="1"/>
    </xf>
    <xf numFmtId="0" fontId="60" fillId="0" borderId="12" xfId="0" applyFont="1" applyBorder="1" applyAlignment="1">
      <alignment horizontal="left" vertical="center" wrapText="1"/>
    </xf>
    <xf numFmtId="0" fontId="129" fillId="0" borderId="0" xfId="0" applyFont="1" applyAlignment="1">
      <alignment vertical="center"/>
    </xf>
    <xf numFmtId="0" fontId="130" fillId="0" borderId="0" xfId="0" applyFont="1" applyAlignment="1">
      <alignment vertical="center"/>
    </xf>
    <xf numFmtId="0" fontId="78" fillId="0" borderId="11" xfId="0" applyFont="1" applyBorder="1" applyAlignment="1">
      <alignment horizontal="left" vertical="center" wrapText="1"/>
    </xf>
    <xf numFmtId="176" fontId="59" fillId="0" borderId="22" xfId="0" applyNumberFormat="1" applyFont="1" applyBorder="1" applyAlignment="1">
      <alignment horizontal="center" vertical="center" wrapText="1"/>
    </xf>
    <xf numFmtId="176" fontId="56" fillId="0" borderId="22" xfId="0" applyNumberFormat="1" applyFont="1" applyBorder="1" applyAlignment="1">
      <alignment horizontal="center" vertical="center" wrapText="1"/>
    </xf>
    <xf numFmtId="0" fontId="25" fillId="0" borderId="15" xfId="0" applyFont="1" applyBorder="1" applyAlignment="1">
      <alignment horizontal="left" vertical="center" wrapText="1"/>
    </xf>
    <xf numFmtId="0" fontId="56" fillId="0" borderId="24" xfId="0" applyFont="1" applyBorder="1" applyAlignment="1">
      <alignment horizontal="left" vertical="center" wrapText="1" shrinkToFit="1"/>
    </xf>
    <xf numFmtId="0" fontId="56" fillId="0" borderId="28" xfId="0" applyFont="1" applyBorder="1" applyAlignment="1">
      <alignment horizontal="left" vertical="center" wrapText="1"/>
    </xf>
    <xf numFmtId="0" fontId="131" fillId="0" borderId="11" xfId="0" applyFont="1" applyBorder="1" applyAlignment="1">
      <alignment horizontal="left" vertical="center" wrapText="1"/>
    </xf>
    <xf numFmtId="0" fontId="111" fillId="0" borderId="16" xfId="0" applyFont="1" applyBorder="1" applyAlignment="1">
      <alignment horizontal="left" wrapText="1"/>
    </xf>
    <xf numFmtId="56" fontId="72" fillId="0" borderId="10" xfId="66" applyNumberFormat="1" applyFont="1" applyBorder="1" applyAlignment="1">
      <alignment horizontal="center" vertical="center"/>
    </xf>
    <xf numFmtId="0" fontId="112" fillId="0" borderId="13" xfId="0" applyFont="1" applyBorder="1" applyAlignment="1">
      <alignment horizontal="left" vertical="center" wrapText="1"/>
    </xf>
    <xf numFmtId="0" fontId="132" fillId="0" borderId="0" xfId="0" applyFont="1"/>
    <xf numFmtId="0" fontId="112" fillId="0" borderId="16" xfId="0" applyFont="1" applyBorder="1" applyAlignment="1">
      <alignment horizontal="left" vertical="center" wrapText="1"/>
    </xf>
    <xf numFmtId="0" fontId="112" fillId="0" borderId="15" xfId="0" applyFont="1" applyBorder="1" applyAlignment="1">
      <alignment horizontal="left" vertical="center" wrapText="1"/>
    </xf>
    <xf numFmtId="0" fontId="112" fillId="0" borderId="10" xfId="0" applyFont="1" applyBorder="1" applyAlignment="1">
      <alignment horizontal="left" vertical="center" wrapText="1"/>
    </xf>
    <xf numFmtId="0" fontId="133" fillId="0" borderId="11" xfId="66" applyFont="1" applyBorder="1" applyAlignment="1">
      <alignment horizontal="left" vertical="center" wrapText="1"/>
    </xf>
    <xf numFmtId="0" fontId="132" fillId="0" borderId="11" xfId="0" applyFont="1" applyBorder="1"/>
    <xf numFmtId="0" fontId="134" fillId="0" borderId="11" xfId="0" applyFont="1" applyBorder="1" applyAlignment="1">
      <alignment horizontal="left" vertical="center" wrapText="1"/>
    </xf>
    <xf numFmtId="0" fontId="135" fillId="0" borderId="11" xfId="0" applyFont="1" applyBorder="1" applyAlignment="1">
      <alignment horizontal="left" vertical="center" wrapText="1"/>
    </xf>
    <xf numFmtId="0" fontId="141" fillId="24" borderId="11" xfId="66" applyFont="1" applyFill="1" applyBorder="1" applyAlignment="1">
      <alignment horizontal="center" vertical="center" wrapText="1"/>
    </xf>
    <xf numFmtId="0" fontId="119" fillId="0" borderId="11" xfId="0" applyFont="1" applyBorder="1" applyAlignment="1">
      <alignment horizontal="left" vertical="center" wrapText="1"/>
    </xf>
    <xf numFmtId="0" fontId="126" fillId="0" borderId="12" xfId="0" applyFont="1" applyBorder="1" applyAlignment="1">
      <alignment vertical="center" wrapText="1"/>
    </xf>
    <xf numFmtId="176" fontId="22" fillId="0" borderId="15" xfId="0" applyNumberFormat="1" applyFont="1" applyBorder="1" applyAlignment="1">
      <alignment horizontal="center" vertical="center" wrapText="1"/>
    </xf>
    <xf numFmtId="0" fontId="106" fillId="0" borderId="15" xfId="66" applyFont="1" applyBorder="1" applyAlignment="1">
      <alignment horizontal="center" vertical="center" wrapText="1"/>
    </xf>
    <xf numFmtId="176" fontId="22" fillId="0" borderId="63" xfId="0" applyNumberFormat="1" applyFont="1" applyBorder="1" applyAlignment="1">
      <alignment horizontal="center" vertical="center" wrapText="1"/>
    </xf>
    <xf numFmtId="0" fontId="22" fillId="24" borderId="63" xfId="66" applyFont="1" applyFill="1" applyBorder="1" applyAlignment="1">
      <alignment horizontal="center" vertical="center" wrapText="1"/>
    </xf>
    <xf numFmtId="0" fontId="55" fillId="0" borderId="63" xfId="0" applyFont="1" applyBorder="1" applyAlignment="1">
      <alignment horizontal="left" vertical="center" wrapText="1"/>
    </xf>
    <xf numFmtId="0" fontId="55" fillId="0" borderId="63" xfId="0" applyFont="1" applyBorder="1" applyAlignment="1">
      <alignment vertical="center" wrapText="1"/>
    </xf>
    <xf numFmtId="0" fontId="138" fillId="0" borderId="11" xfId="0" applyFont="1" applyBorder="1" applyAlignment="1">
      <alignment horizontal="left" vertical="center" wrapText="1"/>
    </xf>
    <xf numFmtId="0" fontId="64" fillId="0" borderId="10" xfId="0" applyFont="1" applyBorder="1" applyAlignment="1">
      <alignment horizontal="left" vertical="center" wrapText="1"/>
    </xf>
    <xf numFmtId="0" fontId="115" fillId="0" borderId="15" xfId="0" applyFont="1" applyBorder="1" applyAlignment="1">
      <alignment horizontal="left" vertical="center" wrapText="1"/>
    </xf>
    <xf numFmtId="0" fontId="142" fillId="0" borderId="11" xfId="66" applyFont="1" applyBorder="1" applyAlignment="1">
      <alignment horizontal="center" vertical="center" wrapText="1"/>
    </xf>
    <xf numFmtId="0" fontId="144" fillId="0" borderId="10" xfId="0" applyFont="1" applyBorder="1" applyAlignment="1">
      <alignment horizontal="left" vertical="center" wrapText="1"/>
    </xf>
    <xf numFmtId="0" fontId="143" fillId="0" borderId="11" xfId="0" applyFont="1" applyBorder="1" applyAlignment="1">
      <alignment horizontal="left" vertical="center" wrapText="1"/>
    </xf>
    <xf numFmtId="0" fontId="108" fillId="0" borderId="15" xfId="0" applyFont="1" applyBorder="1" applyAlignment="1">
      <alignment horizontal="left" vertical="center" wrapText="1"/>
    </xf>
    <xf numFmtId="0" fontId="145" fillId="0" borderId="11" xfId="0" applyFont="1" applyBorder="1" applyAlignment="1">
      <alignment horizontal="left" vertical="center" wrapText="1"/>
    </xf>
    <xf numFmtId="0" fontId="146" fillId="0" borderId="16" xfId="0" applyFont="1" applyBorder="1" applyAlignment="1">
      <alignment horizontal="left" vertical="center" wrapText="1"/>
    </xf>
    <xf numFmtId="0" fontId="146" fillId="0" borderId="11" xfId="0" applyFont="1" applyBorder="1" applyAlignment="1">
      <alignment horizontal="left" vertical="center" wrapText="1"/>
    </xf>
    <xf numFmtId="0" fontId="140" fillId="0" borderId="17" xfId="0" applyFont="1" applyBorder="1" applyAlignment="1">
      <alignment horizontal="left" vertical="center" wrapText="1"/>
    </xf>
    <xf numFmtId="0" fontId="148" fillId="0" borderId="0" xfId="0" applyFont="1" applyAlignment="1">
      <alignment horizontal="left" vertical="center"/>
    </xf>
    <xf numFmtId="0" fontId="149" fillId="0" borderId="0" xfId="0" applyFont="1" applyAlignment="1">
      <alignment horizontal="left" vertical="center"/>
    </xf>
    <xf numFmtId="0" fontId="112" fillId="0" borderId="11" xfId="66" applyFont="1" applyBorder="1" applyAlignment="1">
      <alignment horizontal="left" vertical="center" wrapText="1"/>
    </xf>
    <xf numFmtId="0" fontId="106" fillId="0" borderId="16" xfId="66" applyFont="1" applyBorder="1" applyAlignment="1">
      <alignment horizontal="center" vertical="center" wrapText="1"/>
    </xf>
    <xf numFmtId="0" fontId="56" fillId="0" borderId="17" xfId="0" applyFont="1" applyBorder="1" applyAlignment="1">
      <alignment horizontal="left" vertical="center" wrapText="1"/>
    </xf>
    <xf numFmtId="0" fontId="55" fillId="0" borderId="17" xfId="0" applyFont="1" applyBorder="1" applyAlignment="1">
      <alignment horizontal="left" vertical="center" wrapText="1"/>
    </xf>
    <xf numFmtId="0" fontId="59" fillId="0" borderId="52" xfId="0" applyFont="1" applyBorder="1" applyAlignment="1">
      <alignment vertical="center"/>
    </xf>
    <xf numFmtId="0" fontId="62" fillId="0" borderId="10" xfId="0" applyFont="1" applyBorder="1" applyAlignment="1">
      <alignment horizontal="left" vertical="center" wrapText="1"/>
    </xf>
    <xf numFmtId="0" fontId="109" fillId="0" borderId="10" xfId="0" applyFont="1" applyBorder="1" applyAlignment="1">
      <alignment horizontal="left" vertical="center" wrapText="1"/>
    </xf>
    <xf numFmtId="0" fontId="126" fillId="0" borderId="16" xfId="0" applyFont="1" applyBorder="1" applyAlignment="1">
      <alignment vertical="center" wrapText="1"/>
    </xf>
    <xf numFmtId="0" fontId="126" fillId="0" borderId="10" xfId="0" applyFont="1" applyBorder="1" applyAlignment="1">
      <alignment horizontal="left" vertical="center" wrapText="1"/>
    </xf>
    <xf numFmtId="0" fontId="0" fillId="0" borderId="10" xfId="0" applyBorder="1"/>
    <xf numFmtId="0" fontId="108" fillId="0" borderId="11" xfId="66" applyFont="1" applyBorder="1" applyAlignment="1">
      <alignment horizontal="left" vertical="center" wrapText="1"/>
    </xf>
    <xf numFmtId="0" fontId="112" fillId="0" borderId="64" xfId="0" applyFont="1" applyBorder="1" applyAlignment="1">
      <alignment horizontal="left" vertical="center" wrapText="1"/>
    </xf>
    <xf numFmtId="0" fontId="64" fillId="0" borderId="64" xfId="0" applyFont="1" applyBorder="1" applyAlignment="1">
      <alignment horizontal="left" vertical="center" wrapText="1"/>
    </xf>
    <xf numFmtId="0" fontId="31" fillId="0" borderId="32" xfId="0" applyFont="1" applyBorder="1" applyAlignment="1">
      <alignment horizontal="left" vertical="center" wrapText="1"/>
    </xf>
    <xf numFmtId="0" fontId="31" fillId="0" borderId="65" xfId="0" applyFont="1" applyBorder="1" applyAlignment="1">
      <alignment horizontal="left" vertical="center" wrapText="1"/>
    </xf>
    <xf numFmtId="0" fontId="108" fillId="0" borderId="10" xfId="0" applyFont="1" applyBorder="1" applyAlignment="1">
      <alignment horizontal="left" vertical="center" wrapText="1"/>
    </xf>
    <xf numFmtId="0" fontId="62" fillId="0" borderId="11" xfId="0" applyFont="1" applyBorder="1" applyAlignment="1">
      <alignment vertical="center" wrapText="1"/>
    </xf>
    <xf numFmtId="0" fontId="143" fillId="0" borderId="15" xfId="0" applyFont="1" applyBorder="1" applyAlignment="1">
      <alignment horizontal="left" vertical="center" wrapText="1"/>
    </xf>
    <xf numFmtId="0" fontId="150" fillId="0" borderId="0" xfId="0" applyFont="1" applyAlignment="1">
      <alignment horizontal="center" vertical="center"/>
    </xf>
    <xf numFmtId="178" fontId="150" fillId="0" borderId="0" xfId="0" applyNumberFormat="1" applyFont="1" applyAlignment="1">
      <alignment horizontal="center" vertical="center"/>
    </xf>
    <xf numFmtId="0" fontId="150" fillId="0" borderId="10" xfId="0" applyFont="1" applyBorder="1" applyAlignment="1">
      <alignment horizontal="center" vertical="center"/>
    </xf>
    <xf numFmtId="178" fontId="150" fillId="0" borderId="10" xfId="0" applyNumberFormat="1" applyFont="1" applyBorder="1" applyAlignment="1">
      <alignment horizontal="center" vertical="center"/>
    </xf>
    <xf numFmtId="0" fontId="150" fillId="30" borderId="10" xfId="0" applyFont="1" applyFill="1" applyBorder="1" applyAlignment="1">
      <alignment horizontal="center" vertical="center"/>
    </xf>
    <xf numFmtId="178" fontId="150" fillId="30" borderId="10" xfId="0" applyNumberFormat="1" applyFont="1" applyFill="1" applyBorder="1" applyAlignment="1">
      <alignment horizontal="center" vertical="center"/>
    </xf>
    <xf numFmtId="178" fontId="152" fillId="24" borderId="10" xfId="0" applyNumberFormat="1" applyFont="1" applyFill="1" applyBorder="1" applyAlignment="1">
      <alignment horizontal="center" vertical="center"/>
    </xf>
    <xf numFmtId="178" fontId="151" fillId="24" borderId="10" xfId="0" applyNumberFormat="1" applyFont="1" applyFill="1" applyBorder="1" applyAlignment="1">
      <alignment horizontal="center" vertical="center"/>
    </xf>
    <xf numFmtId="0" fontId="78" fillId="0" borderId="11" xfId="0" applyFont="1" applyBorder="1" applyAlignment="1">
      <alignment vertical="center" wrapText="1"/>
    </xf>
    <xf numFmtId="0" fontId="108" fillId="0" borderId="13" xfId="0" applyFont="1" applyBorder="1" applyAlignment="1">
      <alignment horizontal="left" vertical="center" wrapText="1"/>
    </xf>
    <xf numFmtId="0" fontId="155" fillId="0" borderId="0" xfId="0" applyFont="1" applyAlignment="1">
      <alignment horizontal="left" vertical="center"/>
    </xf>
    <xf numFmtId="0" fontId="159" fillId="0" borderId="0" xfId="0" applyFont="1" applyAlignment="1">
      <alignment horizontal="left" vertical="center"/>
    </xf>
    <xf numFmtId="0" fontId="150" fillId="0" borderId="0" xfId="0" applyFont="1" applyAlignment="1">
      <alignment horizontal="left" vertical="center"/>
    </xf>
    <xf numFmtId="0" fontId="126" fillId="31" borderId="11" xfId="0" applyFont="1" applyFill="1" applyBorder="1" applyAlignment="1">
      <alignment horizontal="left" vertical="center" wrapText="1"/>
    </xf>
    <xf numFmtId="0" fontId="162" fillId="0" borderId="11" xfId="0" applyFont="1" applyBorder="1" applyAlignment="1">
      <alignment horizontal="left" vertical="center" wrapText="1"/>
    </xf>
    <xf numFmtId="0" fontId="78" fillId="0" borderId="27" xfId="0" applyFont="1" applyBorder="1" applyAlignment="1">
      <alignment horizontal="left" vertical="center" wrapText="1"/>
    </xf>
    <xf numFmtId="14" fontId="124" fillId="0" borderId="52" xfId="0" applyNumberFormat="1" applyFont="1" applyBorder="1" applyAlignment="1">
      <alignment horizontal="center"/>
    </xf>
    <xf numFmtId="0" fontId="124" fillId="0" borderId="53" xfId="0" applyFont="1" applyBorder="1" applyAlignment="1">
      <alignment horizontal="center" wrapText="1"/>
    </xf>
    <xf numFmtId="0" fontId="54" fillId="0" borderId="10" xfId="0" applyFont="1" applyBorder="1" applyAlignment="1">
      <alignment horizontal="center" wrapText="1"/>
    </xf>
    <xf numFmtId="0" fontId="54" fillId="0" borderId="52" xfId="0" applyFont="1" applyBorder="1" applyAlignment="1">
      <alignment horizontal="center"/>
    </xf>
    <xf numFmtId="0" fontId="54" fillId="0" borderId="52" xfId="0" applyFont="1" applyBorder="1" applyAlignment="1">
      <alignment horizontal="center" wrapText="1"/>
    </xf>
    <xf numFmtId="0" fontId="113" fillId="0" borderId="11" xfId="66" applyFont="1" applyBorder="1" applyAlignment="1">
      <alignment horizontal="center" vertical="center" wrapText="1"/>
    </xf>
    <xf numFmtId="0" fontId="59" fillId="0" borderId="13" xfId="0" applyFont="1" applyBorder="1" applyAlignment="1">
      <alignment horizontal="left" vertical="center" wrapText="1"/>
    </xf>
    <xf numFmtId="0" fontId="163" fillId="0" borderId="13" xfId="0" applyFont="1" applyBorder="1" applyAlignment="1">
      <alignment horizontal="left" vertical="center" wrapText="1"/>
    </xf>
    <xf numFmtId="0" fontId="165" fillId="0" borderId="10" xfId="0" applyFont="1" applyBorder="1" applyAlignment="1">
      <alignment vertical="center" wrapText="1"/>
    </xf>
    <xf numFmtId="0" fontId="166" fillId="0" borderId="11" xfId="0" applyFont="1" applyBorder="1" applyAlignment="1">
      <alignment horizontal="left" vertical="center" wrapText="1"/>
    </xf>
    <xf numFmtId="0" fontId="167" fillId="0" borderId="11" xfId="0" applyFont="1" applyBorder="1" applyAlignment="1">
      <alignment horizontal="left" vertical="center" wrapText="1"/>
    </xf>
    <xf numFmtId="0" fontId="170" fillId="0" borderId="32" xfId="0" applyFont="1" applyBorder="1" applyAlignment="1">
      <alignment horizontal="left" vertical="center" wrapText="1"/>
    </xf>
    <xf numFmtId="0" fontId="172" fillId="0" borderId="0" xfId="0" applyFont="1" applyAlignment="1">
      <alignment vertical="center" wrapText="1"/>
    </xf>
    <xf numFmtId="0" fontId="27" fillId="0" borderId="41" xfId="0" applyFont="1" applyBorder="1" applyAlignment="1">
      <alignment horizontal="right" vertical="center"/>
    </xf>
    <xf numFmtId="0" fontId="28" fillId="0" borderId="42" xfId="0" applyFont="1" applyBorder="1" applyAlignment="1">
      <alignment vertical="center"/>
    </xf>
    <xf numFmtId="0" fontId="28" fillId="0" borderId="43" xfId="0" applyFont="1" applyBorder="1" applyAlignment="1">
      <alignment vertical="center"/>
    </xf>
    <xf numFmtId="0" fontId="136" fillId="0" borderId="0" xfId="0" applyFont="1" applyAlignment="1">
      <alignment horizontal="right" vertical="center"/>
    </xf>
    <xf numFmtId="0" fontId="137" fillId="0" borderId="0" xfId="0" applyFont="1" applyAlignment="1">
      <alignment vertical="center"/>
    </xf>
    <xf numFmtId="0" fontId="120" fillId="0" borderId="0" xfId="0" applyFont="1" applyAlignment="1">
      <alignment horizontal="left" vertical="center"/>
    </xf>
    <xf numFmtId="0" fontId="54" fillId="0" borderId="0" xfId="0" applyFont="1" applyAlignment="1">
      <alignment vertical="center"/>
    </xf>
    <xf numFmtId="0" fontId="52" fillId="0" borderId="0" xfId="0" applyFont="1" applyAlignment="1">
      <alignment horizontal="right" vertical="center"/>
    </xf>
    <xf numFmtId="0" fontId="2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4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0" fillId="0" borderId="0" xfId="0" applyFont="1" applyAlignment="1">
      <alignment wrapText="1"/>
    </xf>
    <xf numFmtId="177" fontId="43" fillId="0" borderId="10" xfId="0" applyNumberFormat="1" applyFont="1" applyBorder="1" applyAlignment="1">
      <alignment horizontal="center" vertical="center" wrapText="1" shrinkToFit="1"/>
    </xf>
    <xf numFmtId="0" fontId="36" fillId="0" borderId="0" xfId="0" applyFont="1" applyAlignment="1">
      <alignment horizontal="center" vertical="center" wrapText="1"/>
    </xf>
    <xf numFmtId="0" fontId="40" fillId="0" borderId="0" xfId="0" applyFont="1" applyAlignment="1">
      <alignment horizontal="right" vertical="center" wrapText="1"/>
    </xf>
    <xf numFmtId="0" fontId="42" fillId="0" borderId="0" xfId="0" applyFont="1" applyAlignment="1">
      <alignment horizontal="right" vertical="center" wrapText="1"/>
    </xf>
    <xf numFmtId="0" fontId="40" fillId="0" borderId="0" xfId="0" applyFont="1" applyAlignment="1">
      <alignment horizontal="left" vertical="center" wrapText="1"/>
    </xf>
    <xf numFmtId="177" fontId="43" fillId="0" borderId="10" xfId="0" applyNumberFormat="1" applyFont="1" applyBorder="1" applyAlignment="1">
      <alignment horizontal="center" vertical="center" shrinkToFit="1"/>
    </xf>
    <xf numFmtId="0" fontId="42" fillId="0" borderId="0" xfId="65" applyFont="1" applyAlignment="1">
      <alignment horizontal="center" vertical="center" wrapText="1"/>
    </xf>
    <xf numFmtId="0" fontId="73" fillId="0" borderId="0" xfId="65" applyFont="1" applyAlignment="1">
      <alignment horizontal="left" vertical="center" wrapText="1"/>
    </xf>
    <xf numFmtId="0" fontId="49" fillId="0" borderId="0" xfId="65" applyFont="1" applyAlignment="1">
      <alignment horizontal="right" vertical="top" wrapText="1"/>
    </xf>
    <xf numFmtId="0" fontId="49" fillId="0" borderId="0" xfId="65" applyFont="1" applyAlignment="1">
      <alignment horizontal="center" vertical="top" wrapText="1"/>
    </xf>
    <xf numFmtId="0" fontId="71" fillId="25" borderId="10" xfId="66" applyFont="1" applyFill="1" applyBorder="1" applyAlignment="1">
      <alignment horizontal="center"/>
    </xf>
    <xf numFmtId="0" fontId="71" fillId="25" borderId="10" xfId="67" applyFont="1" applyFill="1" applyBorder="1" applyAlignment="1">
      <alignment horizontal="center" wrapText="1"/>
    </xf>
    <xf numFmtId="0" fontId="71" fillId="25" borderId="10" xfId="66" applyFont="1" applyFill="1" applyBorder="1" applyAlignment="1">
      <alignment horizontal="center" vertical="center"/>
    </xf>
    <xf numFmtId="0" fontId="72" fillId="25" borderId="10" xfId="66" applyFont="1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</cellXfs>
  <cellStyles count="68">
    <cellStyle name="20% - アクセント 1" xfId="1" builtinId="30" customBuiltin="1"/>
    <cellStyle name="20% - アクセント 1 2" xfId="2" xr:uid="{00000000-0005-0000-0000-000001000000}"/>
    <cellStyle name="20% - アクセント 1 3" xfId="3" xr:uid="{00000000-0005-0000-0000-000002000000}"/>
    <cellStyle name="20% - アクセント 2" xfId="4" builtinId="34" customBuiltin="1"/>
    <cellStyle name="20% - アクセント 2 2" xfId="5" xr:uid="{00000000-0005-0000-0000-000004000000}"/>
    <cellStyle name="20% - アクセント 2 3" xfId="6" xr:uid="{00000000-0005-0000-0000-000005000000}"/>
    <cellStyle name="20% - アクセント 3" xfId="7" builtinId="38" customBuiltin="1"/>
    <cellStyle name="20% - アクセント 3 2" xfId="8" xr:uid="{00000000-0005-0000-0000-000007000000}"/>
    <cellStyle name="20% - アクセント 3 3" xfId="9" xr:uid="{00000000-0005-0000-0000-000008000000}"/>
    <cellStyle name="20% - アクセント 4" xfId="10" builtinId="42" customBuiltin="1"/>
    <cellStyle name="20% - アクセント 4 2" xfId="11" xr:uid="{00000000-0005-0000-0000-00000A000000}"/>
    <cellStyle name="20% - アクセント 4 3" xfId="12" xr:uid="{00000000-0005-0000-0000-00000B000000}"/>
    <cellStyle name="20% - アクセント 5" xfId="13" builtinId="46" customBuiltin="1"/>
    <cellStyle name="20% - アクセント 5 2" xfId="14" xr:uid="{00000000-0005-0000-0000-00000D000000}"/>
    <cellStyle name="20% - アクセント 5 3" xfId="15" xr:uid="{00000000-0005-0000-0000-00000E000000}"/>
    <cellStyle name="20% - アクセント 6" xfId="16" builtinId="50" customBuiltin="1"/>
    <cellStyle name="20% - アクセント 6 2" xfId="17" xr:uid="{00000000-0005-0000-0000-000010000000}"/>
    <cellStyle name="20% - アクセント 6 3" xfId="18" xr:uid="{00000000-0005-0000-0000-000011000000}"/>
    <cellStyle name="40% - アクセント 1" xfId="19" builtinId="31" customBuiltin="1"/>
    <cellStyle name="40% - アクセント 1 2" xfId="20" xr:uid="{00000000-0005-0000-0000-000013000000}"/>
    <cellStyle name="40% - アクセント 1 3" xfId="21" xr:uid="{00000000-0005-0000-0000-000014000000}"/>
    <cellStyle name="40% - アクセント 2" xfId="22" builtinId="35" customBuiltin="1"/>
    <cellStyle name="40% - アクセント 2 2" xfId="23" xr:uid="{00000000-0005-0000-0000-000016000000}"/>
    <cellStyle name="40% - アクセント 2 3" xfId="24" xr:uid="{00000000-0005-0000-0000-000017000000}"/>
    <cellStyle name="40% - アクセント 3" xfId="25" builtinId="39" customBuiltin="1"/>
    <cellStyle name="40% - アクセント 3 2" xfId="26" xr:uid="{00000000-0005-0000-0000-000019000000}"/>
    <cellStyle name="40% - アクセント 3 3" xfId="27" xr:uid="{00000000-0005-0000-0000-00001A000000}"/>
    <cellStyle name="40% - アクセント 4" xfId="28" builtinId="43" customBuiltin="1"/>
    <cellStyle name="40% - アクセント 4 2" xfId="29" xr:uid="{00000000-0005-0000-0000-00001C000000}"/>
    <cellStyle name="40% - アクセント 4 3" xfId="30" xr:uid="{00000000-0005-0000-0000-00001D000000}"/>
    <cellStyle name="40% - アクセント 5" xfId="31" builtinId="47" customBuiltin="1"/>
    <cellStyle name="40% - アクセント 5 2" xfId="32" xr:uid="{00000000-0005-0000-0000-00001F000000}"/>
    <cellStyle name="40% - アクセント 5 3" xfId="33" xr:uid="{00000000-0005-0000-0000-000020000000}"/>
    <cellStyle name="40% - アクセント 6" xfId="34" builtinId="51" customBuiltin="1"/>
    <cellStyle name="40% - アクセント 6 2" xfId="35" xr:uid="{00000000-0005-0000-0000-000022000000}"/>
    <cellStyle name="40% - アクセント 6 3" xfId="36" xr:uid="{00000000-0005-0000-0000-000023000000}"/>
    <cellStyle name="60% - アクセント 1" xfId="37" builtinId="32" customBuiltin="1"/>
    <cellStyle name="60% - アクセント 2" xfId="38" builtinId="36" customBuiltin="1"/>
    <cellStyle name="60% - アクセント 3" xfId="39" builtinId="40" customBuiltin="1"/>
    <cellStyle name="60% - アクセント 4" xfId="40" builtinId="44" customBuiltin="1"/>
    <cellStyle name="60% - アクセント 5" xfId="41" builtinId="48" customBuiltin="1"/>
    <cellStyle name="60% - アクセント 6" xfId="42" builtinId="52" customBuiltin="1"/>
    <cellStyle name="アクセント 1" xfId="43" builtinId="29" customBuiltin="1"/>
    <cellStyle name="アクセント 2" xfId="44" builtinId="33" customBuiltin="1"/>
    <cellStyle name="アクセント 3" xfId="45" builtinId="37" customBuiltin="1"/>
    <cellStyle name="アクセント 4" xfId="46" builtinId="41" customBuiltin="1"/>
    <cellStyle name="アクセント 5" xfId="47" builtinId="45" customBuiltin="1"/>
    <cellStyle name="アクセント 6" xfId="48" builtinId="49" customBuiltin="1"/>
    <cellStyle name="タイトル" xfId="49" builtinId="15" customBuiltin="1"/>
    <cellStyle name="チェック セル" xfId="50" builtinId="23" customBuiltin="1"/>
    <cellStyle name="どちらでもない" xfId="51" builtinId="28" customBuiltin="1"/>
    <cellStyle name="メモ" xfId="52" builtinId="10" customBuiltin="1"/>
    <cellStyle name="リンク セル" xfId="53" builtinId="24" customBuiltin="1"/>
    <cellStyle name="悪い" xfId="54" builtinId="27" customBuiltin="1"/>
    <cellStyle name="警告文" xfId="55" builtinId="11" customBuiltin="1"/>
    <cellStyle name="見出し 1" xfId="56" builtinId="16" customBuiltin="1"/>
    <cellStyle name="見出し 2" xfId="57" builtinId="17" customBuiltin="1"/>
    <cellStyle name="見出し 3" xfId="58" builtinId="18" customBuiltin="1"/>
    <cellStyle name="見出し 4" xfId="59" builtinId="19" customBuiltin="1"/>
    <cellStyle name="集計" xfId="60" builtinId="25" customBuiltin="1"/>
    <cellStyle name="出力" xfId="61" builtinId="21" customBuiltin="1"/>
    <cellStyle name="説明文" xfId="62" builtinId="53" customBuiltin="1"/>
    <cellStyle name="入力" xfId="63" builtinId="20" customBuiltin="1"/>
    <cellStyle name="標準" xfId="0" builtinId="0"/>
    <cellStyle name="標準 2" xfId="65" xr:uid="{00000000-0005-0000-0000-000040000000}"/>
    <cellStyle name="標準 3" xfId="67" xr:uid="{00000000-0005-0000-0000-000041000000}"/>
    <cellStyle name="標準 4" xfId="66" xr:uid="{00000000-0005-0000-0000-000042000000}"/>
    <cellStyle name="良い" xfId="64" builtinId="26" customBuiltin="1"/>
  </cellStyles>
  <dxfs count="15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>
          <bgColor theme="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>
          <bgColor theme="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D2C0-4600-4BE2-8B31-BDF12C16050C}">
  <sheetPr>
    <tabColor rgb="FF0070C0"/>
    <pageSetUpPr fitToPage="1"/>
  </sheetPr>
  <dimension ref="A1:Z38"/>
  <sheetViews>
    <sheetView tabSelected="1" topLeftCell="A18" zoomScale="50" zoomScaleNormal="50" zoomScaleSheetLayoutView="25" workbookViewId="0">
      <pane xSplit="1" topLeftCell="I1" activePane="topRight" state="frozen"/>
      <selection pane="topRight" activeCell="T32" sqref="T32"/>
      <selection activeCell="T32" sqref="T32"/>
    </sheetView>
  </sheetViews>
  <sheetFormatPr defaultColWidth="8.875" defaultRowHeight="14.25"/>
  <cols>
    <col min="1" max="1" width="7.875" customWidth="1"/>
    <col min="2" max="3" width="7.625" customWidth="1"/>
    <col min="4" max="4" width="70.625" customWidth="1"/>
    <col min="5" max="5" width="30.625" customWidth="1"/>
    <col min="6" max="7" width="7.625" customWidth="1"/>
    <col min="8" max="8" width="70.625" customWidth="1"/>
    <col min="9" max="9" width="30.625" customWidth="1"/>
    <col min="10" max="11" width="7.625" customWidth="1"/>
    <col min="12" max="12" width="70.625" customWidth="1"/>
    <col min="13" max="13" width="30.625" customWidth="1"/>
    <col min="14" max="15" width="7.625" customWidth="1"/>
    <col min="16" max="16" width="70.625" customWidth="1"/>
    <col min="17" max="17" width="30.625" customWidth="1"/>
    <col min="18" max="19" width="7.625" customWidth="1"/>
    <col min="20" max="20" width="70.625" customWidth="1"/>
    <col min="21" max="21" width="30.625" customWidth="1"/>
    <col min="22" max="23" width="7.625" customWidth="1"/>
    <col min="24" max="24" width="70.625" customWidth="1"/>
    <col min="25" max="25" width="30.625" customWidth="1"/>
    <col min="26" max="26" width="7.625" customWidth="1"/>
    <col min="33" max="33" width="9" bestFit="1" customWidth="1"/>
  </cols>
  <sheetData>
    <row r="1" spans="1:26" ht="59.25">
      <c r="A1" s="1"/>
      <c r="B1" s="2"/>
      <c r="C1" s="2"/>
      <c r="D1" s="3" t="s">
        <v>0</v>
      </c>
      <c r="E1" s="188">
        <f ca="1">TODAY()</f>
        <v>46064</v>
      </c>
      <c r="F1" s="4"/>
      <c r="G1" s="4"/>
      <c r="H1" s="381">
        <v>2026</v>
      </c>
      <c r="I1" s="382"/>
      <c r="J1" s="382"/>
      <c r="K1" s="383" t="s">
        <v>1</v>
      </c>
      <c r="L1" s="384"/>
      <c r="M1" s="384"/>
      <c r="N1" s="384"/>
      <c r="O1" s="384"/>
      <c r="P1" s="384"/>
      <c r="Q1" s="384"/>
      <c r="R1" s="384"/>
      <c r="S1" s="384"/>
      <c r="T1" s="384"/>
      <c r="U1" s="385" t="s">
        <v>2</v>
      </c>
      <c r="V1" s="385"/>
      <c r="W1" s="385"/>
      <c r="X1" s="385"/>
      <c r="Y1" s="385"/>
      <c r="Z1" s="28"/>
    </row>
    <row r="2" spans="1:26" ht="30" customHeight="1">
      <c r="A2" s="5"/>
      <c r="B2" s="5"/>
      <c r="C2" s="5"/>
      <c r="D2" s="190" t="s">
        <v>3</v>
      </c>
      <c r="E2" s="6"/>
      <c r="F2" s="5"/>
      <c r="G2" s="5"/>
      <c r="H2" s="359" t="s">
        <v>4</v>
      </c>
      <c r="I2" s="329" t="s">
        <v>5</v>
      </c>
      <c r="J2" s="5"/>
      <c r="K2" s="5"/>
      <c r="L2" s="6"/>
      <c r="M2" s="6"/>
      <c r="N2" s="5"/>
      <c r="O2" s="5"/>
      <c r="P2" s="6"/>
      <c r="Q2" s="6"/>
      <c r="R2" s="5"/>
      <c r="S2" s="5"/>
      <c r="T2" s="6"/>
      <c r="U2" s="6"/>
      <c r="V2" s="5"/>
      <c r="W2" s="5"/>
      <c r="X2" s="7"/>
      <c r="Y2" s="194"/>
      <c r="Z2" s="8"/>
    </row>
    <row r="3" spans="1:26" ht="30" customHeight="1">
      <c r="A3" s="5"/>
      <c r="B3" s="5"/>
      <c r="C3" s="5"/>
      <c r="D3" s="6"/>
      <c r="E3" s="6"/>
      <c r="F3" s="5"/>
      <c r="G3" s="5"/>
      <c r="H3" s="359" t="s">
        <v>6</v>
      </c>
      <c r="I3" s="360" t="s">
        <v>7</v>
      </c>
      <c r="J3" s="5"/>
      <c r="K3" s="5"/>
      <c r="L3" s="6"/>
      <c r="M3" s="6"/>
      <c r="N3" s="5"/>
      <c r="O3" s="5"/>
      <c r="P3" s="6"/>
      <c r="Q3" s="6"/>
      <c r="R3" s="5"/>
      <c r="S3" s="5"/>
      <c r="T3" s="6"/>
      <c r="U3" s="6"/>
      <c r="V3" s="5"/>
      <c r="W3" s="5"/>
      <c r="X3" s="7"/>
      <c r="Y3" s="329"/>
      <c r="Z3" s="8"/>
    </row>
    <row r="4" spans="1:26" ht="30" customHeight="1">
      <c r="A4" s="5"/>
      <c r="B4" s="5"/>
      <c r="C4" s="5"/>
      <c r="D4" s="386"/>
      <c r="E4" s="387"/>
      <c r="F4" s="5"/>
      <c r="G4" s="5"/>
      <c r="H4" s="185" t="s">
        <v>8</v>
      </c>
      <c r="I4" s="194"/>
      <c r="J4" s="5"/>
      <c r="K4" s="5"/>
      <c r="L4" s="6"/>
      <c r="M4" s="6"/>
      <c r="N4" s="5"/>
      <c r="O4" s="5"/>
      <c r="P4" s="6"/>
      <c r="Q4" s="6"/>
      <c r="R4" s="5"/>
      <c r="S4" s="5"/>
      <c r="T4" s="6"/>
      <c r="U4" s="6"/>
      <c r="V4" s="5"/>
      <c r="W4" s="5"/>
      <c r="X4" s="185"/>
      <c r="Y4" s="330"/>
      <c r="Z4" s="8"/>
    </row>
    <row r="5" spans="1:26" ht="20.25">
      <c r="A5" s="5"/>
      <c r="B5" s="5"/>
      <c r="C5" s="5"/>
      <c r="D5" s="6"/>
      <c r="E5" s="6"/>
      <c r="F5" s="5"/>
      <c r="G5" s="5"/>
      <c r="H5" s="6"/>
      <c r="I5" s="6"/>
      <c r="J5" s="5"/>
      <c r="K5" s="5"/>
      <c r="L5" s="6"/>
      <c r="M5" s="6"/>
      <c r="N5" s="5"/>
      <c r="O5" s="5"/>
      <c r="P5" s="6"/>
      <c r="Q5" s="6"/>
      <c r="R5" s="5"/>
      <c r="S5" s="5"/>
      <c r="T5" s="6"/>
      <c r="U5" s="6"/>
      <c r="V5" s="5"/>
      <c r="W5" s="5"/>
      <c r="X5" s="6"/>
      <c r="Y5" s="6"/>
      <c r="Z5" s="5"/>
    </row>
    <row r="6" spans="1:26" ht="44.25">
      <c r="A6" s="107"/>
      <c r="B6" s="378">
        <v>4</v>
      </c>
      <c r="C6" s="379"/>
      <c r="D6" s="380"/>
      <c r="E6" s="108" t="s">
        <v>9</v>
      </c>
      <c r="F6" s="378">
        <v>5</v>
      </c>
      <c r="G6" s="379"/>
      <c r="H6" s="380"/>
      <c r="I6" s="108" t="s">
        <v>9</v>
      </c>
      <c r="J6" s="378">
        <v>6</v>
      </c>
      <c r="K6" s="379"/>
      <c r="L6" s="380"/>
      <c r="M6" s="108" t="s">
        <v>9</v>
      </c>
      <c r="N6" s="378">
        <v>7</v>
      </c>
      <c r="O6" s="379"/>
      <c r="P6" s="380"/>
      <c r="Q6" s="108" t="s">
        <v>9</v>
      </c>
      <c r="R6" s="378">
        <v>8</v>
      </c>
      <c r="S6" s="379"/>
      <c r="T6" s="380"/>
      <c r="U6" s="108" t="s">
        <v>9</v>
      </c>
      <c r="V6" s="378">
        <v>9</v>
      </c>
      <c r="W6" s="379"/>
      <c r="X6" s="380"/>
      <c r="Y6" s="108" t="s">
        <v>9</v>
      </c>
      <c r="Z6" s="109"/>
    </row>
    <row r="7" spans="1:26" ht="44.25">
      <c r="A7" s="110"/>
      <c r="B7" s="9"/>
      <c r="C7" s="9"/>
      <c r="D7" s="9" t="s">
        <v>10</v>
      </c>
      <c r="E7" s="9" t="s">
        <v>11</v>
      </c>
      <c r="F7" s="9"/>
      <c r="G7" s="9"/>
      <c r="H7" s="9" t="s">
        <v>10</v>
      </c>
      <c r="I7" s="9" t="s">
        <v>11</v>
      </c>
      <c r="J7" s="9"/>
      <c r="K7" s="9"/>
      <c r="L7" s="9" t="s">
        <v>10</v>
      </c>
      <c r="M7" s="9" t="s">
        <v>11</v>
      </c>
      <c r="N7" s="9"/>
      <c r="O7" s="9"/>
      <c r="P7" s="9" t="s">
        <v>10</v>
      </c>
      <c r="Q7" s="12" t="s">
        <v>11</v>
      </c>
      <c r="R7" s="9"/>
      <c r="S7" s="9"/>
      <c r="T7" s="9" t="s">
        <v>10</v>
      </c>
      <c r="U7" s="252" t="s">
        <v>11</v>
      </c>
      <c r="V7" s="9"/>
      <c r="W7" s="9"/>
      <c r="X7" s="9" t="s">
        <v>10</v>
      </c>
      <c r="Y7" s="9" t="s">
        <v>11</v>
      </c>
      <c r="Z7" s="111"/>
    </row>
    <row r="8" spans="1:26" ht="100.35" customHeight="1">
      <c r="A8" s="112">
        <v>1</v>
      </c>
      <c r="B8" s="10">
        <f>DATE($H$1,$B$6,$A8)</f>
        <v>46113</v>
      </c>
      <c r="C8" s="31" t="s">
        <v>12</v>
      </c>
      <c r="D8" s="41" t="s">
        <v>13</v>
      </c>
      <c r="E8" s="41"/>
      <c r="F8" s="10">
        <f>DATE($H$1,$F$6,$A8)</f>
        <v>46143</v>
      </c>
      <c r="G8" s="29">
        <v>4</v>
      </c>
      <c r="H8" s="42"/>
      <c r="I8" s="42"/>
      <c r="J8" s="10">
        <f>DATE($H$1,$J$6,$A8)</f>
        <v>46174</v>
      </c>
      <c r="K8" s="29">
        <v>7</v>
      </c>
      <c r="L8" s="46"/>
      <c r="M8" s="45"/>
      <c r="N8" s="10">
        <f>DATE($H$1,$N$6,$A8)</f>
        <v>46204</v>
      </c>
      <c r="O8" s="29">
        <v>11</v>
      </c>
      <c r="P8" s="209" t="s">
        <v>14</v>
      </c>
      <c r="Q8" s="192"/>
      <c r="R8" s="10">
        <f>DATE($H$1,$R$6,$A8)</f>
        <v>46235</v>
      </c>
      <c r="S8" s="29"/>
      <c r="T8" s="326" t="s">
        <v>15</v>
      </c>
      <c r="U8" s="303"/>
      <c r="V8" s="11">
        <f>DATE($H$1,$V$6,$A8)</f>
        <v>46266</v>
      </c>
      <c r="W8" s="29" t="s">
        <v>12</v>
      </c>
      <c r="X8" s="41"/>
      <c r="Y8" s="52"/>
      <c r="Z8" s="113">
        <v>1</v>
      </c>
    </row>
    <row r="9" spans="1:26" ht="100.35" customHeight="1">
      <c r="A9" s="112">
        <v>2</v>
      </c>
      <c r="B9" s="10">
        <f t="shared" ref="B9:B37" si="0">DATE($H$1,$B$6,$A9)</f>
        <v>46114</v>
      </c>
      <c r="C9" s="31" t="s">
        <v>12</v>
      </c>
      <c r="D9" s="42" t="s">
        <v>16</v>
      </c>
      <c r="E9" s="41" t="s">
        <v>17</v>
      </c>
      <c r="F9" s="10">
        <f t="shared" ref="F9:F38" si="1">DATE($H$1,$F$6,$A9)</f>
        <v>46144</v>
      </c>
      <c r="G9" s="222"/>
      <c r="H9" s="275"/>
      <c r="I9" s="275"/>
      <c r="J9" s="10">
        <f t="shared" ref="J9:J37" si="2">DATE($H$1,$J$6,$A9)</f>
        <v>46175</v>
      </c>
      <c r="K9" s="29">
        <v>7</v>
      </c>
      <c r="L9" s="58"/>
      <c r="M9" s="161"/>
      <c r="N9" s="10">
        <f t="shared" ref="N9:N38" si="3">DATE($H$1,$N$6,$A9)</f>
        <v>46205</v>
      </c>
      <c r="O9" s="29">
        <v>11</v>
      </c>
      <c r="P9" s="41"/>
      <c r="Q9" s="282"/>
      <c r="R9" s="10">
        <f t="shared" ref="R9:R38" si="4">DATE($H$1,$R$6,$A9)</f>
        <v>46236</v>
      </c>
      <c r="S9" s="29" t="s">
        <v>12</v>
      </c>
      <c r="T9" s="257"/>
      <c r="U9" s="303"/>
      <c r="V9" s="11">
        <f t="shared" ref="V9:V37" si="5">DATE($H$1,$V$6,$A9)</f>
        <v>46267</v>
      </c>
      <c r="W9" s="29" t="s">
        <v>12</v>
      </c>
      <c r="X9" s="41" t="s">
        <v>12</v>
      </c>
      <c r="Y9" s="52" t="s">
        <v>18</v>
      </c>
      <c r="Z9" s="113">
        <v>2</v>
      </c>
    </row>
    <row r="10" spans="1:26" ht="100.35" customHeight="1">
      <c r="A10" s="112">
        <v>3</v>
      </c>
      <c r="B10" s="10">
        <f t="shared" si="0"/>
        <v>46115</v>
      </c>
      <c r="C10" s="31" t="s">
        <v>12</v>
      </c>
      <c r="D10" s="42" t="s">
        <v>19</v>
      </c>
      <c r="E10" s="41" t="s">
        <v>20</v>
      </c>
      <c r="F10" s="10">
        <f t="shared" si="1"/>
        <v>46145</v>
      </c>
      <c r="G10" s="38"/>
      <c r="H10" s="46" t="s">
        <v>21</v>
      </c>
      <c r="I10" s="46"/>
      <c r="J10" s="10">
        <f t="shared" si="2"/>
        <v>46176</v>
      </c>
      <c r="K10" s="29">
        <v>7</v>
      </c>
      <c r="L10" s="310" t="s">
        <v>19</v>
      </c>
      <c r="M10" s="102"/>
      <c r="N10" s="11">
        <f t="shared" si="3"/>
        <v>46206</v>
      </c>
      <c r="O10" s="29">
        <v>12</v>
      </c>
      <c r="P10" s="209" t="s">
        <v>22</v>
      </c>
      <c r="Q10" s="275"/>
      <c r="R10" s="10">
        <f t="shared" si="4"/>
        <v>46237</v>
      </c>
      <c r="S10" s="29" t="s">
        <v>12</v>
      </c>
      <c r="T10" s="302" t="s">
        <v>23</v>
      </c>
      <c r="U10" s="164"/>
      <c r="V10" s="11">
        <f t="shared" si="5"/>
        <v>46268</v>
      </c>
      <c r="W10" s="29" t="s">
        <v>12</v>
      </c>
      <c r="X10" s="41"/>
      <c r="Y10" s="52"/>
      <c r="Z10" s="113">
        <v>3</v>
      </c>
    </row>
    <row r="11" spans="1:26" ht="100.35" customHeight="1">
      <c r="A11" s="112">
        <v>4</v>
      </c>
      <c r="B11" s="10">
        <f t="shared" si="0"/>
        <v>46116</v>
      </c>
      <c r="C11" s="31" t="s">
        <v>12</v>
      </c>
      <c r="D11" s="42"/>
      <c r="E11" s="41"/>
      <c r="F11" s="10">
        <f t="shared" si="1"/>
        <v>46146</v>
      </c>
      <c r="G11" s="38"/>
      <c r="H11" s="46" t="s">
        <v>24</v>
      </c>
      <c r="I11" s="46"/>
      <c r="J11" s="10">
        <f t="shared" si="2"/>
        <v>46177</v>
      </c>
      <c r="K11" s="29"/>
      <c r="L11" s="259" t="s">
        <v>25</v>
      </c>
      <c r="M11" s="101" t="s">
        <v>26</v>
      </c>
      <c r="N11" s="10">
        <f t="shared" si="3"/>
        <v>46207</v>
      </c>
      <c r="O11" s="29"/>
      <c r="P11" s="325" t="s">
        <v>27</v>
      </c>
      <c r="Q11" s="275" t="s">
        <v>28</v>
      </c>
      <c r="R11" s="10">
        <f t="shared" si="4"/>
        <v>46238</v>
      </c>
      <c r="S11" s="29" t="s">
        <v>12</v>
      </c>
      <c r="T11" s="302" t="s">
        <v>29</v>
      </c>
      <c r="U11" s="303"/>
      <c r="V11" s="10">
        <f t="shared" si="5"/>
        <v>46269</v>
      </c>
      <c r="W11" s="29" t="s">
        <v>12</v>
      </c>
      <c r="X11" s="41"/>
      <c r="Y11" s="52" t="s">
        <v>30</v>
      </c>
      <c r="Z11" s="113">
        <v>4</v>
      </c>
    </row>
    <row r="12" spans="1:26" ht="100.35" customHeight="1">
      <c r="A12" s="112">
        <v>5</v>
      </c>
      <c r="B12" s="10">
        <f t="shared" si="0"/>
        <v>46117</v>
      </c>
      <c r="C12" s="31" t="s">
        <v>12</v>
      </c>
      <c r="D12" s="42" t="s">
        <v>31</v>
      </c>
      <c r="E12" s="41"/>
      <c r="F12" s="10">
        <f t="shared" si="1"/>
        <v>46147</v>
      </c>
      <c r="G12" s="38"/>
      <c r="H12" s="46" t="s">
        <v>32</v>
      </c>
      <c r="I12" s="46"/>
      <c r="J12" s="10">
        <f t="shared" si="2"/>
        <v>46178</v>
      </c>
      <c r="K12" s="222">
        <v>8</v>
      </c>
      <c r="L12" s="259" t="s">
        <v>33</v>
      </c>
      <c r="M12" s="275"/>
      <c r="N12" s="10">
        <f t="shared" si="3"/>
        <v>46208</v>
      </c>
      <c r="O12" s="29"/>
      <c r="P12" s="53"/>
      <c r="Q12" s="275" t="s">
        <v>28</v>
      </c>
      <c r="R12" s="10">
        <f t="shared" si="4"/>
        <v>46239</v>
      </c>
      <c r="S12" s="29" t="s">
        <v>12</v>
      </c>
      <c r="T12" s="302" t="s">
        <v>34</v>
      </c>
      <c r="U12" s="304"/>
      <c r="V12" s="10">
        <f t="shared" si="5"/>
        <v>46270</v>
      </c>
      <c r="W12" s="29" t="s">
        <v>12</v>
      </c>
      <c r="X12" s="41"/>
      <c r="Y12" s="52" t="s">
        <v>30</v>
      </c>
      <c r="Z12" s="113">
        <v>5</v>
      </c>
    </row>
    <row r="13" spans="1:26" ht="100.35" customHeight="1">
      <c r="A13" s="112">
        <v>6</v>
      </c>
      <c r="B13" s="10">
        <f t="shared" si="0"/>
        <v>46118</v>
      </c>
      <c r="C13" s="31" t="s">
        <v>12</v>
      </c>
      <c r="D13" s="42" t="s">
        <v>35</v>
      </c>
      <c r="E13" s="42"/>
      <c r="F13" s="10">
        <f t="shared" si="1"/>
        <v>46148</v>
      </c>
      <c r="G13" s="38"/>
      <c r="H13" s="46" t="s">
        <v>36</v>
      </c>
      <c r="I13" s="46"/>
      <c r="J13" s="10">
        <f t="shared" si="2"/>
        <v>46179</v>
      </c>
      <c r="K13" s="29"/>
      <c r="L13" s="259"/>
      <c r="M13" s="275"/>
      <c r="N13" s="10">
        <f t="shared" si="3"/>
        <v>46209</v>
      </c>
      <c r="O13" s="29">
        <v>12</v>
      </c>
      <c r="P13" s="248"/>
      <c r="Q13" s="41"/>
      <c r="R13" s="10">
        <f t="shared" si="4"/>
        <v>46240</v>
      </c>
      <c r="S13" s="29" t="s">
        <v>12</v>
      </c>
      <c r="T13" s="342" t="s">
        <v>37</v>
      </c>
      <c r="U13" s="102" t="s">
        <v>26</v>
      </c>
      <c r="V13" s="11">
        <f t="shared" si="5"/>
        <v>46271</v>
      </c>
      <c r="W13" s="29" t="s">
        <v>12</v>
      </c>
      <c r="X13" s="228"/>
      <c r="Y13" s="375" t="s">
        <v>38</v>
      </c>
      <c r="Z13" s="113">
        <v>6</v>
      </c>
    </row>
    <row r="14" spans="1:26" ht="100.35" customHeight="1">
      <c r="A14" s="112">
        <v>7</v>
      </c>
      <c r="B14" s="10">
        <f t="shared" si="0"/>
        <v>46119</v>
      </c>
      <c r="C14" s="31" t="s">
        <v>12</v>
      </c>
      <c r="D14" s="97" t="s">
        <v>39</v>
      </c>
      <c r="E14" s="97"/>
      <c r="F14" s="10">
        <f t="shared" si="1"/>
        <v>46149</v>
      </c>
      <c r="G14" s="29">
        <v>5</v>
      </c>
      <c r="H14" s="231"/>
      <c r="I14" s="42" t="s">
        <v>26</v>
      </c>
      <c r="J14" s="10">
        <f t="shared" si="2"/>
        <v>46180</v>
      </c>
      <c r="K14" s="29"/>
      <c r="L14" s="230"/>
      <c r="M14" s="41"/>
      <c r="N14" s="10">
        <f t="shared" si="3"/>
        <v>46210</v>
      </c>
      <c r="O14" s="249">
        <v>12</v>
      </c>
      <c r="P14" s="248" t="s">
        <v>40</v>
      </c>
      <c r="Q14" s="41"/>
      <c r="R14" s="10">
        <f t="shared" si="4"/>
        <v>46241</v>
      </c>
      <c r="S14" s="29" t="s">
        <v>12</v>
      </c>
      <c r="T14" s="343" t="s">
        <v>41</v>
      </c>
      <c r="U14" s="304"/>
      <c r="V14" s="11">
        <f t="shared" si="5"/>
        <v>46272</v>
      </c>
      <c r="W14" s="29" t="s">
        <v>12</v>
      </c>
      <c r="X14" s="247" t="s">
        <v>42</v>
      </c>
      <c r="Y14" s="41"/>
      <c r="Z14" s="113">
        <v>7</v>
      </c>
    </row>
    <row r="15" spans="1:26" ht="100.35" customHeight="1">
      <c r="A15" s="112">
        <v>8</v>
      </c>
      <c r="B15" s="10">
        <f t="shared" si="0"/>
        <v>46120</v>
      </c>
      <c r="C15" s="31"/>
      <c r="D15" s="237" t="s">
        <v>43</v>
      </c>
      <c r="E15" s="255"/>
      <c r="F15" s="10">
        <f t="shared" si="1"/>
        <v>46150</v>
      </c>
      <c r="G15" s="29">
        <v>5</v>
      </c>
      <c r="H15" s="41"/>
      <c r="I15" s="41"/>
      <c r="J15" s="10">
        <f t="shared" si="2"/>
        <v>46181</v>
      </c>
      <c r="K15" s="29">
        <v>8</v>
      </c>
      <c r="L15" s="259" t="s">
        <v>44</v>
      </c>
      <c r="M15" s="41"/>
      <c r="N15" s="10">
        <f t="shared" si="3"/>
        <v>46211</v>
      </c>
      <c r="O15" s="249">
        <v>12</v>
      </c>
      <c r="P15" s="328" t="s">
        <v>45</v>
      </c>
      <c r="Q15" s="41"/>
      <c r="R15" s="10">
        <f t="shared" si="4"/>
        <v>46242</v>
      </c>
      <c r="S15" s="74" t="s">
        <v>12</v>
      </c>
      <c r="T15" s="376" t="s">
        <v>46</v>
      </c>
      <c r="U15" s="304"/>
      <c r="V15" s="11">
        <f t="shared" si="5"/>
        <v>46273</v>
      </c>
      <c r="W15" s="29" t="s">
        <v>12</v>
      </c>
      <c r="X15" s="45"/>
      <c r="Y15" s="41"/>
      <c r="Z15" s="113">
        <v>8</v>
      </c>
    </row>
    <row r="16" spans="1:26" ht="100.35" customHeight="1">
      <c r="A16" s="112">
        <v>9</v>
      </c>
      <c r="B16" s="10">
        <f t="shared" si="0"/>
        <v>46121</v>
      </c>
      <c r="C16" s="31">
        <v>1</v>
      </c>
      <c r="D16" s="200" t="s">
        <v>47</v>
      </c>
      <c r="E16" s="97" t="s">
        <v>48</v>
      </c>
      <c r="F16" s="10">
        <f t="shared" si="1"/>
        <v>46151</v>
      </c>
      <c r="G16" s="29"/>
      <c r="H16" s="41"/>
      <c r="I16" s="41"/>
      <c r="J16" s="10">
        <f t="shared" si="2"/>
        <v>46182</v>
      </c>
      <c r="K16" s="29">
        <v>8</v>
      </c>
      <c r="L16" s="259" t="s">
        <v>49</v>
      </c>
      <c r="M16" s="41"/>
      <c r="N16" s="10">
        <f t="shared" si="3"/>
        <v>46212</v>
      </c>
      <c r="O16" s="249">
        <v>12</v>
      </c>
      <c r="P16" s="284"/>
      <c r="Q16" s="101" t="s">
        <v>50</v>
      </c>
      <c r="R16" s="10">
        <f t="shared" si="4"/>
        <v>46243</v>
      </c>
      <c r="S16" s="74" t="s">
        <v>12</v>
      </c>
      <c r="T16" s="344" t="s">
        <v>51</v>
      </c>
      <c r="U16" s="304"/>
      <c r="V16" s="11">
        <f t="shared" si="5"/>
        <v>46274</v>
      </c>
      <c r="W16" s="29" t="s">
        <v>12</v>
      </c>
      <c r="X16" s="45"/>
      <c r="Y16" s="67"/>
      <c r="Z16" s="113">
        <v>9</v>
      </c>
    </row>
    <row r="17" spans="1:26" ht="100.35" customHeight="1">
      <c r="A17" s="116">
        <v>10</v>
      </c>
      <c r="B17" s="10">
        <f t="shared" si="0"/>
        <v>46122</v>
      </c>
      <c r="C17" s="145">
        <v>1</v>
      </c>
      <c r="D17" s="200"/>
      <c r="E17" s="97"/>
      <c r="F17" s="10">
        <f t="shared" si="1"/>
        <v>46152</v>
      </c>
      <c r="G17" s="127"/>
      <c r="H17" s="97"/>
      <c r="I17" s="45"/>
      <c r="J17" s="10">
        <f t="shared" si="2"/>
        <v>46183</v>
      </c>
      <c r="K17" s="127">
        <v>8</v>
      </c>
      <c r="L17" s="300" t="s">
        <v>52</v>
      </c>
      <c r="M17" s="51"/>
      <c r="N17" s="10">
        <f t="shared" si="3"/>
        <v>46213</v>
      </c>
      <c r="O17" s="250">
        <v>13</v>
      </c>
      <c r="P17" s="301"/>
      <c r="Q17" s="275"/>
      <c r="R17" s="10">
        <f t="shared" si="4"/>
        <v>46244</v>
      </c>
      <c r="S17" s="127" t="s">
        <v>12</v>
      </c>
      <c r="T17" s="345" t="s">
        <v>53</v>
      </c>
      <c r="U17" s="304"/>
      <c r="V17" s="11">
        <f t="shared" si="5"/>
        <v>46275</v>
      </c>
      <c r="W17" s="127" t="s">
        <v>12</v>
      </c>
      <c r="X17" s="51"/>
      <c r="Y17" s="45" t="s">
        <v>50</v>
      </c>
      <c r="Z17" s="141">
        <v>10</v>
      </c>
    </row>
    <row r="18" spans="1:26" ht="100.35" customHeight="1">
      <c r="A18" s="129">
        <v>11</v>
      </c>
      <c r="B18" s="10">
        <f t="shared" si="0"/>
        <v>46123</v>
      </c>
      <c r="C18" s="148"/>
      <c r="D18" s="209" t="s">
        <v>18</v>
      </c>
      <c r="E18" s="43"/>
      <c r="F18" s="10">
        <f t="shared" si="1"/>
        <v>46153</v>
      </c>
      <c r="G18" s="130">
        <v>4</v>
      </c>
      <c r="H18" s="97"/>
      <c r="I18" s="97"/>
      <c r="J18" s="10">
        <f t="shared" si="2"/>
        <v>46184</v>
      </c>
      <c r="K18" s="130">
        <v>8</v>
      </c>
      <c r="L18" s="256" t="s">
        <v>54</v>
      </c>
      <c r="N18" s="10">
        <f t="shared" si="3"/>
        <v>46214</v>
      </c>
      <c r="O18" s="251"/>
      <c r="P18" s="248"/>
      <c r="Q18" s="275"/>
      <c r="R18" s="10">
        <f t="shared" si="4"/>
        <v>46245</v>
      </c>
      <c r="S18" s="149" t="s">
        <v>12</v>
      </c>
      <c r="T18" s="131" t="s">
        <v>55</v>
      </c>
      <c r="U18" s="131"/>
      <c r="V18" s="10">
        <f t="shared" si="5"/>
        <v>46276</v>
      </c>
      <c r="W18" s="130" t="s">
        <v>12</v>
      </c>
      <c r="X18" s="320" t="s">
        <v>56</v>
      </c>
      <c r="Y18" s="97"/>
      <c r="Z18" s="150">
        <v>11</v>
      </c>
    </row>
    <row r="19" spans="1:26" ht="100.35" customHeight="1">
      <c r="A19" s="114">
        <v>12</v>
      </c>
      <c r="B19" s="10">
        <f t="shared" si="0"/>
        <v>46124</v>
      </c>
      <c r="C19" s="146"/>
      <c r="D19" s="200"/>
      <c r="E19" s="43"/>
      <c r="F19" s="10">
        <f t="shared" si="1"/>
        <v>46154</v>
      </c>
      <c r="G19" s="128">
        <v>4</v>
      </c>
      <c r="H19" s="99" t="s">
        <v>57</v>
      </c>
      <c r="I19" s="97"/>
      <c r="J19" s="10">
        <f t="shared" si="2"/>
        <v>46185</v>
      </c>
      <c r="K19" s="128">
        <v>9</v>
      </c>
      <c r="L19" s="256"/>
      <c r="M19" s="275"/>
      <c r="N19" s="10">
        <f t="shared" si="3"/>
        <v>46215</v>
      </c>
      <c r="O19" s="128"/>
      <c r="P19" s="53" t="s">
        <v>58</v>
      </c>
      <c r="Q19" s="43"/>
      <c r="R19" s="10">
        <f t="shared" si="4"/>
        <v>46246</v>
      </c>
      <c r="S19" s="29" t="s">
        <v>12</v>
      </c>
      <c r="T19" s="331"/>
      <c r="U19" s="97"/>
      <c r="V19" s="10">
        <f t="shared" si="5"/>
        <v>46277</v>
      </c>
      <c r="W19" s="128" t="s">
        <v>12</v>
      </c>
      <c r="X19" s="285"/>
      <c r="Y19" s="51"/>
      <c r="Z19" s="147">
        <v>12</v>
      </c>
    </row>
    <row r="20" spans="1:26" ht="100.35" customHeight="1">
      <c r="A20" s="112">
        <v>13</v>
      </c>
      <c r="B20" s="10">
        <f t="shared" si="0"/>
        <v>46125</v>
      </c>
      <c r="C20" s="31">
        <v>1</v>
      </c>
      <c r="D20" s="209"/>
      <c r="E20" s="41"/>
      <c r="F20" s="10">
        <f t="shared" si="1"/>
        <v>46155</v>
      </c>
      <c r="G20" s="29">
        <v>4</v>
      </c>
      <c r="H20" s="323" t="s">
        <v>59</v>
      </c>
      <c r="I20" s="43"/>
      <c r="J20" s="10">
        <f t="shared" si="2"/>
        <v>46186</v>
      </c>
      <c r="K20" s="29"/>
      <c r="L20" s="311"/>
      <c r="M20" s="275"/>
      <c r="N20" s="10">
        <f t="shared" si="3"/>
        <v>46216</v>
      </c>
      <c r="O20" s="29">
        <v>13</v>
      </c>
      <c r="P20" s="63"/>
      <c r="Q20" s="41"/>
      <c r="R20" s="10">
        <f t="shared" si="4"/>
        <v>46247</v>
      </c>
      <c r="S20" s="29" t="s">
        <v>12</v>
      </c>
      <c r="T20" s="41" t="s">
        <v>12</v>
      </c>
      <c r="U20" s="41"/>
      <c r="V20" s="10">
        <f t="shared" si="5"/>
        <v>46278</v>
      </c>
      <c r="W20" s="29" t="s">
        <v>12</v>
      </c>
      <c r="X20" s="45" t="s">
        <v>60</v>
      </c>
      <c r="Y20" s="51"/>
      <c r="Z20" s="113">
        <v>13</v>
      </c>
    </row>
    <row r="21" spans="1:26" ht="100.35" customHeight="1">
      <c r="A21" s="112">
        <v>14</v>
      </c>
      <c r="B21" s="10">
        <f t="shared" si="0"/>
        <v>46126</v>
      </c>
      <c r="C21" s="31">
        <v>1</v>
      </c>
      <c r="D21" s="41"/>
      <c r="E21" s="41"/>
      <c r="F21" s="10">
        <f t="shared" si="1"/>
        <v>46156</v>
      </c>
      <c r="G21" s="29">
        <v>6</v>
      </c>
      <c r="H21" s="272"/>
      <c r="I21" s="45"/>
      <c r="J21" s="10">
        <f t="shared" si="2"/>
        <v>46187</v>
      </c>
      <c r="K21" s="29"/>
      <c r="L21" s="281"/>
      <c r="M21" s="41"/>
      <c r="N21" s="10">
        <f t="shared" si="3"/>
        <v>46217</v>
      </c>
      <c r="O21" s="29">
        <v>13</v>
      </c>
      <c r="P21" s="41"/>
      <c r="Q21" s="63"/>
      <c r="R21" s="10">
        <f t="shared" si="4"/>
        <v>46248</v>
      </c>
      <c r="S21" s="29" t="s">
        <v>12</v>
      </c>
      <c r="T21" s="305" t="s">
        <v>61</v>
      </c>
      <c r="U21" s="41"/>
      <c r="V21" s="10">
        <f t="shared" si="5"/>
        <v>46279</v>
      </c>
      <c r="W21" s="29">
        <v>15</v>
      </c>
      <c r="X21" s="41" t="s">
        <v>62</v>
      </c>
      <c r="Y21" s="357" t="s">
        <v>63</v>
      </c>
      <c r="Z21" s="113">
        <v>14</v>
      </c>
    </row>
    <row r="22" spans="1:26" ht="100.35" customHeight="1">
      <c r="A22" s="112">
        <v>15</v>
      </c>
      <c r="B22" s="10">
        <f t="shared" si="0"/>
        <v>46127</v>
      </c>
      <c r="C22" s="31">
        <v>1</v>
      </c>
      <c r="D22" s="41" t="s">
        <v>64</v>
      </c>
      <c r="E22" s="41"/>
      <c r="F22" s="10">
        <f t="shared" si="1"/>
        <v>46157</v>
      </c>
      <c r="G22" s="29">
        <v>6</v>
      </c>
      <c r="H22" s="45"/>
      <c r="I22" s="45"/>
      <c r="J22" s="10">
        <f t="shared" si="2"/>
        <v>46188</v>
      </c>
      <c r="K22" s="29">
        <v>9</v>
      </c>
      <c r="L22" s="42"/>
      <c r="M22" s="41"/>
      <c r="N22" s="10">
        <f t="shared" si="3"/>
        <v>46218</v>
      </c>
      <c r="O22" s="29">
        <v>13</v>
      </c>
      <c r="P22" s="341" t="s">
        <v>65</v>
      </c>
      <c r="Q22" s="41"/>
      <c r="R22" s="10">
        <f t="shared" si="4"/>
        <v>46249</v>
      </c>
      <c r="S22" s="29" t="s">
        <v>12</v>
      </c>
      <c r="T22" s="305"/>
      <c r="U22" s="305"/>
      <c r="V22" s="10">
        <f t="shared" si="5"/>
        <v>46280</v>
      </c>
      <c r="W22" s="29">
        <v>15</v>
      </c>
      <c r="X22" s="41" t="s">
        <v>62</v>
      </c>
      <c r="Y22" s="357" t="s">
        <v>63</v>
      </c>
      <c r="Z22" s="162">
        <v>15</v>
      </c>
    </row>
    <row r="23" spans="1:26" ht="100.35" customHeight="1">
      <c r="A23" s="112">
        <v>16</v>
      </c>
      <c r="B23" s="10">
        <f t="shared" si="0"/>
        <v>46128</v>
      </c>
      <c r="C23" s="31">
        <v>2</v>
      </c>
      <c r="D23" s="43" t="s">
        <v>66</v>
      </c>
      <c r="E23" s="41"/>
      <c r="F23" s="10">
        <f t="shared" si="1"/>
        <v>46158</v>
      </c>
      <c r="G23" s="29"/>
      <c r="H23" s="45"/>
      <c r="I23" s="45"/>
      <c r="J23" s="10">
        <f t="shared" si="2"/>
        <v>46189</v>
      </c>
      <c r="K23" s="29">
        <v>9</v>
      </c>
      <c r="L23" s="225"/>
      <c r="M23" s="45"/>
      <c r="N23" s="10">
        <f t="shared" si="3"/>
        <v>46219</v>
      </c>
      <c r="O23" s="29">
        <v>13</v>
      </c>
      <c r="P23" s="42"/>
      <c r="Q23" s="282"/>
      <c r="R23" s="10">
        <f t="shared" si="4"/>
        <v>46250</v>
      </c>
      <c r="S23" s="29" t="s">
        <v>12</v>
      </c>
      <c r="T23" s="41" t="s">
        <v>12</v>
      </c>
      <c r="U23" s="41"/>
      <c r="V23" s="10">
        <f t="shared" si="5"/>
        <v>46281</v>
      </c>
      <c r="W23" s="29">
        <v>15</v>
      </c>
      <c r="X23" s="41" t="s">
        <v>62</v>
      </c>
      <c r="Y23" s="357" t="s">
        <v>67</v>
      </c>
      <c r="Z23" s="113">
        <v>16</v>
      </c>
    </row>
    <row r="24" spans="1:26" ht="100.35" customHeight="1">
      <c r="A24" s="112">
        <v>17</v>
      </c>
      <c r="B24" s="10">
        <f t="shared" si="0"/>
        <v>46129</v>
      </c>
      <c r="C24" s="31">
        <v>2</v>
      </c>
      <c r="D24" s="41"/>
      <c r="E24" s="41"/>
      <c r="F24" s="10">
        <f t="shared" si="1"/>
        <v>46159</v>
      </c>
      <c r="G24" s="29"/>
      <c r="H24" s="41"/>
      <c r="I24" s="41"/>
      <c r="J24" s="10">
        <f t="shared" si="2"/>
        <v>46190</v>
      </c>
      <c r="K24" s="29">
        <v>9</v>
      </c>
      <c r="L24" s="225" t="s">
        <v>68</v>
      </c>
      <c r="M24" s="41"/>
      <c r="N24" s="10">
        <f t="shared" si="3"/>
        <v>46220</v>
      </c>
      <c r="O24" s="29">
        <v>14</v>
      </c>
      <c r="P24" s="98"/>
      <c r="Q24" s="357" t="s">
        <v>63</v>
      </c>
      <c r="R24" s="10">
        <f t="shared" si="4"/>
        <v>46251</v>
      </c>
      <c r="S24" s="29" t="s">
        <v>12</v>
      </c>
      <c r="T24" s="53"/>
      <c r="U24" s="44"/>
      <c r="V24" s="10">
        <f t="shared" si="5"/>
        <v>46282</v>
      </c>
      <c r="W24" s="29">
        <v>15</v>
      </c>
      <c r="X24" s="41" t="s">
        <v>62</v>
      </c>
      <c r="Y24" s="357" t="s">
        <v>63</v>
      </c>
      <c r="Z24" s="113">
        <v>17</v>
      </c>
    </row>
    <row r="25" spans="1:26" ht="100.35" customHeight="1">
      <c r="A25" s="112">
        <v>18</v>
      </c>
      <c r="B25" s="10">
        <f t="shared" si="0"/>
        <v>46130</v>
      </c>
      <c r="C25" s="31"/>
      <c r="D25" s="41"/>
      <c r="E25" s="41"/>
      <c r="F25" s="10">
        <f t="shared" si="1"/>
        <v>46160</v>
      </c>
      <c r="G25" s="29">
        <v>5</v>
      </c>
      <c r="H25" s="45"/>
      <c r="I25" s="45"/>
      <c r="J25" s="10">
        <f t="shared" si="2"/>
        <v>46191</v>
      </c>
      <c r="K25" s="29">
        <v>9</v>
      </c>
      <c r="L25" s="230"/>
      <c r="M25" s="101" t="s">
        <v>26</v>
      </c>
      <c r="N25" s="10">
        <f t="shared" si="3"/>
        <v>46221</v>
      </c>
      <c r="O25" s="29"/>
      <c r="P25" s="98"/>
      <c r="Q25" s="275"/>
      <c r="R25" s="10">
        <f t="shared" si="4"/>
        <v>46252</v>
      </c>
      <c r="S25" s="29" t="s">
        <v>12</v>
      </c>
      <c r="T25" s="372" t="s">
        <v>69</v>
      </c>
      <c r="U25" s="67"/>
      <c r="V25" s="10">
        <f t="shared" si="5"/>
        <v>46283</v>
      </c>
      <c r="W25" s="29">
        <v>15</v>
      </c>
      <c r="X25" s="41" t="s">
        <v>70</v>
      </c>
      <c r="Y25" s="357" t="s">
        <v>63</v>
      </c>
      <c r="Z25" s="113">
        <v>18</v>
      </c>
    </row>
    <row r="26" spans="1:26" ht="100.35" customHeight="1">
      <c r="A26" s="116">
        <v>19</v>
      </c>
      <c r="B26" s="10">
        <f t="shared" si="0"/>
        <v>46131</v>
      </c>
      <c r="C26" s="156"/>
      <c r="D26" s="41"/>
      <c r="E26" s="41"/>
      <c r="F26" s="10">
        <f t="shared" si="1"/>
        <v>46161</v>
      </c>
      <c r="G26" s="127">
        <v>5</v>
      </c>
      <c r="H26" s="45"/>
      <c r="I26" s="45" t="s">
        <v>26</v>
      </c>
      <c r="J26" s="10">
        <f t="shared" si="2"/>
        <v>46192</v>
      </c>
      <c r="K26" s="155">
        <v>10</v>
      </c>
      <c r="L26" s="273" t="s">
        <v>71</v>
      </c>
      <c r="M26" s="275"/>
      <c r="N26" s="10">
        <f t="shared" si="3"/>
        <v>46222</v>
      </c>
      <c r="O26" s="127"/>
      <c r="P26" s="97"/>
      <c r="Q26" s="98"/>
      <c r="R26" s="10">
        <f t="shared" si="4"/>
        <v>46253</v>
      </c>
      <c r="S26" s="127" t="s">
        <v>12</v>
      </c>
      <c r="T26" s="371" t="s">
        <v>69</v>
      </c>
      <c r="U26" s="67"/>
      <c r="V26" s="10">
        <f t="shared" si="5"/>
        <v>46284</v>
      </c>
      <c r="W26" s="29"/>
      <c r="X26" s="362" t="s">
        <v>72</v>
      </c>
      <c r="Y26" s="42"/>
      <c r="Z26" s="141">
        <v>19</v>
      </c>
    </row>
    <row r="27" spans="1:26" ht="100.35" customHeight="1">
      <c r="A27" s="129">
        <v>20</v>
      </c>
      <c r="B27" s="10">
        <f t="shared" si="0"/>
        <v>46132</v>
      </c>
      <c r="C27" s="148">
        <v>2</v>
      </c>
      <c r="D27" s="41"/>
      <c r="E27" s="97"/>
      <c r="F27" s="10">
        <f t="shared" si="1"/>
        <v>46162</v>
      </c>
      <c r="G27" s="130">
        <v>5</v>
      </c>
      <c r="H27" s="41" t="s">
        <v>73</v>
      </c>
      <c r="I27" s="41"/>
      <c r="J27" s="10">
        <f t="shared" si="2"/>
        <v>46193</v>
      </c>
      <c r="K27" s="130"/>
      <c r="L27" s="41"/>
      <c r="M27" s="275"/>
      <c r="N27" s="11">
        <f t="shared" si="3"/>
        <v>46223</v>
      </c>
      <c r="O27" s="149" t="s">
        <v>12</v>
      </c>
      <c r="P27" s="63" t="s">
        <v>74</v>
      </c>
      <c r="Q27" s="357"/>
      <c r="R27" s="10">
        <f t="shared" si="4"/>
        <v>46254</v>
      </c>
      <c r="S27" s="130" t="s">
        <v>12</v>
      </c>
      <c r="T27" s="97" t="s">
        <v>69</v>
      </c>
      <c r="U27" s="97"/>
      <c r="V27" s="10">
        <f t="shared" si="5"/>
        <v>46285</v>
      </c>
      <c r="W27" s="130"/>
      <c r="X27" s="228"/>
      <c r="Y27" s="42"/>
      <c r="Z27" s="150">
        <v>20</v>
      </c>
    </row>
    <row r="28" spans="1:26" ht="100.35" customHeight="1">
      <c r="A28" s="114">
        <v>21</v>
      </c>
      <c r="B28" s="10">
        <f t="shared" si="0"/>
        <v>46133</v>
      </c>
      <c r="C28" s="146">
        <v>2</v>
      </c>
      <c r="D28" s="41" t="s">
        <v>75</v>
      </c>
      <c r="E28" s="43" t="s">
        <v>26</v>
      </c>
      <c r="F28" s="10">
        <f t="shared" si="1"/>
        <v>46163</v>
      </c>
      <c r="G28" s="128"/>
      <c r="H28" s="41" t="s">
        <v>76</v>
      </c>
      <c r="I28" s="41"/>
      <c r="J28" s="10">
        <f t="shared" si="2"/>
        <v>46194</v>
      </c>
      <c r="K28" s="128"/>
      <c r="L28" s="41"/>
      <c r="M28" s="41"/>
      <c r="N28" s="10">
        <f>DATE($H$1,$N$6,$A28)</f>
        <v>46224</v>
      </c>
      <c r="O28" s="29">
        <v>14</v>
      </c>
      <c r="P28" s="189"/>
      <c r="Q28" s="357" t="s">
        <v>63</v>
      </c>
      <c r="R28" s="10">
        <f t="shared" si="4"/>
        <v>46255</v>
      </c>
      <c r="S28" s="128" t="s">
        <v>12</v>
      </c>
      <c r="T28" s="53"/>
      <c r="U28" s="53" t="s">
        <v>77</v>
      </c>
      <c r="V28" s="10">
        <f t="shared" si="5"/>
        <v>46286</v>
      </c>
      <c r="W28" s="125" t="s">
        <v>12</v>
      </c>
      <c r="X28" s="126" t="s">
        <v>78</v>
      </c>
      <c r="Y28" s="43"/>
      <c r="Z28" s="147">
        <v>21</v>
      </c>
    </row>
    <row r="29" spans="1:26" ht="100.35" customHeight="1">
      <c r="A29" s="112">
        <v>22</v>
      </c>
      <c r="B29" s="10">
        <f t="shared" si="0"/>
        <v>46134</v>
      </c>
      <c r="C29" s="31">
        <v>2</v>
      </c>
      <c r="D29" s="41" t="s">
        <v>79</v>
      </c>
      <c r="E29" s="41"/>
      <c r="F29" s="10">
        <f t="shared" si="1"/>
        <v>46164</v>
      </c>
      <c r="G29" s="29">
        <v>7</v>
      </c>
      <c r="H29" s="41"/>
      <c r="I29" s="41"/>
      <c r="J29" s="10">
        <f t="shared" si="2"/>
        <v>46195</v>
      </c>
      <c r="K29" s="29">
        <v>10</v>
      </c>
      <c r="L29" s="41"/>
      <c r="M29" s="41"/>
      <c r="N29" s="10">
        <f t="shared" si="3"/>
        <v>46225</v>
      </c>
      <c r="O29" s="29">
        <v>14</v>
      </c>
      <c r="P29" s="41" t="s">
        <v>80</v>
      </c>
      <c r="Q29" s="357" t="s">
        <v>63</v>
      </c>
      <c r="R29" s="10">
        <f t="shared" si="4"/>
        <v>46256</v>
      </c>
      <c r="S29" s="29" t="s">
        <v>12</v>
      </c>
      <c r="T29" s="224"/>
      <c r="U29" s="363"/>
      <c r="V29" s="10">
        <f t="shared" si="5"/>
        <v>46287</v>
      </c>
      <c r="W29" s="125" t="s">
        <v>12</v>
      </c>
      <c r="X29" s="46" t="s">
        <v>81</v>
      </c>
      <c r="Y29" s="357"/>
      <c r="Z29" s="113">
        <v>22</v>
      </c>
    </row>
    <row r="30" spans="1:26" ht="100.35" customHeight="1" thickBot="1">
      <c r="A30" s="112">
        <v>23</v>
      </c>
      <c r="B30" s="10">
        <f t="shared" si="0"/>
        <v>46135</v>
      </c>
      <c r="C30" s="31">
        <v>3</v>
      </c>
      <c r="D30" s="324" t="s">
        <v>82</v>
      </c>
      <c r="E30" s="41"/>
      <c r="F30" s="10">
        <f t="shared" si="1"/>
        <v>46165</v>
      </c>
      <c r="G30" s="219"/>
      <c r="H30" s="41"/>
      <c r="I30" s="41"/>
      <c r="J30" s="10">
        <f t="shared" si="2"/>
        <v>46196</v>
      </c>
      <c r="K30" s="29">
        <v>10</v>
      </c>
      <c r="L30" s="41"/>
      <c r="M30" s="41" t="s">
        <v>83</v>
      </c>
      <c r="N30" s="10">
        <f t="shared" si="3"/>
        <v>46226</v>
      </c>
      <c r="O30" s="29">
        <v>14</v>
      </c>
      <c r="P30" s="60"/>
      <c r="Q30" s="102" t="s">
        <v>84</v>
      </c>
      <c r="R30" s="11">
        <f t="shared" si="4"/>
        <v>46257</v>
      </c>
      <c r="S30" s="74" t="s">
        <v>12</v>
      </c>
      <c r="T30" s="336"/>
      <c r="U30" s="363"/>
      <c r="V30" s="314">
        <f t="shared" si="5"/>
        <v>46288</v>
      </c>
      <c r="W30" s="315" t="s">
        <v>12</v>
      </c>
      <c r="X30" s="316" t="s">
        <v>85</v>
      </c>
      <c r="Y30" s="317"/>
      <c r="Z30" s="113">
        <v>23</v>
      </c>
    </row>
    <row r="31" spans="1:26" ht="100.35" customHeight="1" thickTop="1">
      <c r="A31" s="112">
        <v>24</v>
      </c>
      <c r="B31" s="10">
        <f t="shared" si="0"/>
        <v>46136</v>
      </c>
      <c r="C31" s="31">
        <v>3</v>
      </c>
      <c r="D31" s="225" t="s">
        <v>86</v>
      </c>
      <c r="E31" s="41"/>
      <c r="F31" s="10">
        <f t="shared" si="1"/>
        <v>46166</v>
      </c>
      <c r="G31" s="29"/>
      <c r="H31" s="41"/>
      <c r="I31" s="41"/>
      <c r="J31" s="10">
        <f t="shared" si="2"/>
        <v>46197</v>
      </c>
      <c r="K31" s="29">
        <v>10</v>
      </c>
      <c r="L31" s="41" t="s">
        <v>87</v>
      </c>
      <c r="M31" s="41"/>
      <c r="N31" s="10">
        <f t="shared" si="3"/>
        <v>46227</v>
      </c>
      <c r="O31" s="29"/>
      <c r="P31" s="275" t="s">
        <v>88</v>
      </c>
      <c r="Q31" s="340"/>
      <c r="R31" s="11">
        <f t="shared" si="4"/>
        <v>46258</v>
      </c>
      <c r="S31" s="74" t="s">
        <v>12</v>
      </c>
      <c r="T31" s="47"/>
      <c r="U31" s="333"/>
      <c r="V31" s="312">
        <f t="shared" si="5"/>
        <v>46289</v>
      </c>
      <c r="W31" s="313">
        <v>1</v>
      </c>
      <c r="X31" s="199" t="s">
        <v>89</v>
      </c>
      <c r="Y31" s="45" t="s">
        <v>50</v>
      </c>
      <c r="Z31" s="113">
        <v>24</v>
      </c>
    </row>
    <row r="32" spans="1:26" ht="100.35" customHeight="1">
      <c r="A32" s="112">
        <v>25</v>
      </c>
      <c r="B32" s="10">
        <f t="shared" si="0"/>
        <v>46137</v>
      </c>
      <c r="C32" s="31"/>
      <c r="D32" s="41"/>
      <c r="E32" s="41"/>
      <c r="F32" s="10">
        <f t="shared" si="1"/>
        <v>46167</v>
      </c>
      <c r="G32" s="29">
        <v>6</v>
      </c>
      <c r="H32" s="259"/>
      <c r="I32" s="41"/>
      <c r="J32" s="10">
        <f t="shared" si="2"/>
        <v>46198</v>
      </c>
      <c r="K32" s="29">
        <v>10</v>
      </c>
      <c r="L32" s="41" t="s">
        <v>90</v>
      </c>
      <c r="M32" s="101"/>
      <c r="N32" s="10">
        <f t="shared" si="3"/>
        <v>46228</v>
      </c>
      <c r="O32" s="29"/>
      <c r="P32" s="362" t="s">
        <v>91</v>
      </c>
      <c r="Q32" s="279"/>
      <c r="R32" s="10">
        <f t="shared" si="4"/>
        <v>46259</v>
      </c>
      <c r="S32" s="74" t="s">
        <v>12</v>
      </c>
      <c r="T32" s="373"/>
      <c r="U32" s="373" t="s">
        <v>92</v>
      </c>
      <c r="V32" s="10">
        <f t="shared" si="5"/>
        <v>46290</v>
      </c>
      <c r="W32" s="29">
        <v>1</v>
      </c>
      <c r="X32" s="256"/>
      <c r="Y32" s="41"/>
      <c r="Z32" s="113">
        <v>25</v>
      </c>
    </row>
    <row r="33" spans="1:26" ht="100.35" customHeight="1">
      <c r="A33" s="112">
        <v>26</v>
      </c>
      <c r="B33" s="10">
        <f t="shared" si="0"/>
        <v>46138</v>
      </c>
      <c r="C33" s="31"/>
      <c r="D33" s="41"/>
      <c r="E33" s="41"/>
      <c r="F33" s="10">
        <f t="shared" si="1"/>
        <v>46168</v>
      </c>
      <c r="G33" s="29">
        <v>6</v>
      </c>
      <c r="H33" s="41"/>
      <c r="I33" s="41"/>
      <c r="J33" s="10">
        <f t="shared" si="2"/>
        <v>46199</v>
      </c>
      <c r="K33" s="29">
        <v>11</v>
      </c>
      <c r="L33" s="41" t="s">
        <v>93</v>
      </c>
      <c r="M33" s="275"/>
      <c r="N33" s="10">
        <f t="shared" si="3"/>
        <v>46229</v>
      </c>
      <c r="O33" s="29"/>
      <c r="P33" s="286"/>
      <c r="Q33" s="198"/>
      <c r="R33" s="10">
        <f t="shared" si="4"/>
        <v>46260</v>
      </c>
      <c r="S33" s="74" t="s">
        <v>12</v>
      </c>
      <c r="T33" s="47" t="s">
        <v>94</v>
      </c>
      <c r="U33" s="333"/>
      <c r="V33" s="10">
        <f t="shared" si="5"/>
        <v>46291</v>
      </c>
      <c r="W33" s="29"/>
      <c r="X33" s="362" t="s">
        <v>72</v>
      </c>
      <c r="Y33" s="41"/>
      <c r="Z33" s="113">
        <v>26</v>
      </c>
    </row>
    <row r="34" spans="1:26" ht="100.35" customHeight="1">
      <c r="A34" s="112">
        <v>27</v>
      </c>
      <c r="B34" s="10">
        <f t="shared" si="0"/>
        <v>46139</v>
      </c>
      <c r="C34" s="31">
        <v>3</v>
      </c>
      <c r="D34" s="41"/>
      <c r="E34" s="41"/>
      <c r="F34" s="10">
        <f t="shared" si="1"/>
        <v>46169</v>
      </c>
      <c r="G34" s="29">
        <v>6</v>
      </c>
      <c r="H34" s="41" t="s">
        <v>95</v>
      </c>
      <c r="I34" s="41"/>
      <c r="J34" s="10">
        <f t="shared" si="2"/>
        <v>46200</v>
      </c>
      <c r="K34" s="29"/>
      <c r="L34" s="53" t="s">
        <v>96</v>
      </c>
      <c r="M34" s="275"/>
      <c r="N34" s="10">
        <f t="shared" si="3"/>
        <v>46230</v>
      </c>
      <c r="O34" s="29">
        <v>14</v>
      </c>
      <c r="P34" s="275"/>
      <c r="Q34" s="357" t="s">
        <v>63</v>
      </c>
      <c r="R34" s="10">
        <f t="shared" si="4"/>
        <v>46261</v>
      </c>
      <c r="S34" s="29" t="s">
        <v>12</v>
      </c>
      <c r="T34" s="47" t="s">
        <v>94</v>
      </c>
      <c r="U34" s="41" t="s">
        <v>26</v>
      </c>
      <c r="V34" s="10">
        <f t="shared" si="5"/>
        <v>46292</v>
      </c>
      <c r="W34" s="29" t="s">
        <v>12</v>
      </c>
      <c r="X34" s="189"/>
      <c r="Y34" s="41"/>
      <c r="Z34" s="113">
        <v>27</v>
      </c>
    </row>
    <row r="35" spans="1:26" ht="100.35" customHeight="1">
      <c r="A35" s="112">
        <v>28</v>
      </c>
      <c r="B35" s="10">
        <f t="shared" si="0"/>
        <v>46140</v>
      </c>
      <c r="C35" s="31">
        <v>3</v>
      </c>
      <c r="D35" s="41" t="s">
        <v>95</v>
      </c>
      <c r="E35" s="41"/>
      <c r="F35" s="10">
        <f t="shared" si="1"/>
        <v>46170</v>
      </c>
      <c r="G35" s="29">
        <v>7</v>
      </c>
      <c r="H35" s="41" t="s">
        <v>97</v>
      </c>
      <c r="I35" s="41"/>
      <c r="J35" s="10">
        <f t="shared" si="2"/>
        <v>46201</v>
      </c>
      <c r="K35" s="29"/>
      <c r="L35" s="41"/>
      <c r="M35" s="41"/>
      <c r="N35" s="10">
        <f t="shared" si="3"/>
        <v>46231</v>
      </c>
      <c r="O35" s="29"/>
      <c r="P35" s="256" t="s">
        <v>98</v>
      </c>
      <c r="Q35" s="357"/>
      <c r="R35" s="10">
        <f t="shared" si="4"/>
        <v>46262</v>
      </c>
      <c r="S35" s="29" t="s">
        <v>12</v>
      </c>
      <c r="T35" s="47" t="s">
        <v>94</v>
      </c>
      <c r="U35" s="41"/>
      <c r="V35" s="10">
        <f t="shared" si="5"/>
        <v>46293</v>
      </c>
      <c r="W35" s="29">
        <v>1</v>
      </c>
      <c r="X35" s="187"/>
      <c r="Y35" s="41"/>
      <c r="Z35" s="113">
        <v>28</v>
      </c>
    </row>
    <row r="36" spans="1:26" ht="100.35" customHeight="1">
      <c r="A36" s="112">
        <v>29</v>
      </c>
      <c r="B36" s="10">
        <f t="shared" si="0"/>
        <v>46141</v>
      </c>
      <c r="C36" s="309" t="s">
        <v>99</v>
      </c>
      <c r="D36" s="46" t="s">
        <v>100</v>
      </c>
      <c r="E36" s="46"/>
      <c r="F36" s="10">
        <f t="shared" si="1"/>
        <v>46171</v>
      </c>
      <c r="G36" s="219"/>
      <c r="H36" s="259" t="s">
        <v>101</v>
      </c>
      <c r="I36" s="41"/>
      <c r="J36" s="10">
        <f t="shared" si="2"/>
        <v>46202</v>
      </c>
      <c r="K36" s="29">
        <v>11</v>
      </c>
      <c r="L36" s="60" t="s">
        <v>102</v>
      </c>
      <c r="M36" s="41"/>
      <c r="N36" s="10">
        <f t="shared" si="3"/>
        <v>46232</v>
      </c>
      <c r="O36" s="158"/>
      <c r="P36" s="302" t="s">
        <v>103</v>
      </c>
      <c r="Q36" s="276"/>
      <c r="R36" s="10">
        <f t="shared" si="4"/>
        <v>46263</v>
      </c>
      <c r="S36" s="29" t="s">
        <v>12</v>
      </c>
      <c r="T36" s="41" t="s">
        <v>104</v>
      </c>
      <c r="U36" s="41"/>
      <c r="V36" s="10">
        <f t="shared" si="5"/>
        <v>46294</v>
      </c>
      <c r="W36" s="29">
        <v>1</v>
      </c>
      <c r="X36" s="244"/>
      <c r="Y36" s="69"/>
      <c r="Z36" s="113">
        <v>29</v>
      </c>
    </row>
    <row r="37" spans="1:26" ht="100.35" customHeight="1">
      <c r="A37" s="112">
        <v>30</v>
      </c>
      <c r="B37" s="10">
        <f t="shared" si="0"/>
        <v>46142</v>
      </c>
      <c r="C37" s="31">
        <v>4</v>
      </c>
      <c r="D37" s="41" t="s">
        <v>105</v>
      </c>
      <c r="E37" s="41"/>
      <c r="F37" s="10">
        <f t="shared" si="1"/>
        <v>46172</v>
      </c>
      <c r="G37" s="29"/>
      <c r="H37" s="362" t="s">
        <v>91</v>
      </c>
      <c r="I37" s="41"/>
      <c r="J37" s="10">
        <f t="shared" si="2"/>
        <v>46203</v>
      </c>
      <c r="K37" s="29">
        <v>11</v>
      </c>
      <c r="L37" s="60"/>
      <c r="M37" s="61"/>
      <c r="N37" s="10">
        <f t="shared" si="3"/>
        <v>46233</v>
      </c>
      <c r="O37" s="29" t="s">
        <v>12</v>
      </c>
      <c r="P37" s="302" t="s">
        <v>106</v>
      </c>
      <c r="Q37" s="42"/>
      <c r="R37" s="10">
        <f t="shared" si="4"/>
        <v>46264</v>
      </c>
      <c r="S37" s="29" t="s">
        <v>12</v>
      </c>
      <c r="T37" s="41"/>
      <c r="U37" s="41"/>
      <c r="V37" s="10">
        <f t="shared" si="5"/>
        <v>46295</v>
      </c>
      <c r="W37" s="29">
        <v>1</v>
      </c>
      <c r="X37" s="189" t="s">
        <v>95</v>
      </c>
      <c r="Y37" s="69"/>
      <c r="Z37" s="113">
        <v>30</v>
      </c>
    </row>
    <row r="38" spans="1:26" ht="100.35" customHeight="1">
      <c r="A38" s="118">
        <v>31</v>
      </c>
      <c r="B38" s="142"/>
      <c r="C38" s="143" t="s">
        <v>12</v>
      </c>
      <c r="D38" s="51" t="s">
        <v>12</v>
      </c>
      <c r="E38" s="51"/>
      <c r="F38" s="10">
        <f t="shared" si="1"/>
        <v>46173</v>
      </c>
      <c r="G38" s="119"/>
      <c r="H38" s="275"/>
      <c r="I38" s="51"/>
      <c r="J38" s="142"/>
      <c r="K38" s="144" t="s">
        <v>12</v>
      </c>
      <c r="L38" s="51" t="s">
        <v>12</v>
      </c>
      <c r="M38" s="51"/>
      <c r="N38" s="10">
        <f t="shared" si="3"/>
        <v>46234</v>
      </c>
      <c r="O38" s="119"/>
      <c r="P38" s="302" t="s">
        <v>107</v>
      </c>
      <c r="Q38" s="283"/>
      <c r="R38" s="10">
        <f t="shared" si="4"/>
        <v>46265</v>
      </c>
      <c r="S38" s="119" t="s">
        <v>12</v>
      </c>
      <c r="T38" s="51" t="s">
        <v>12</v>
      </c>
      <c r="U38" s="51" t="s">
        <v>108</v>
      </c>
      <c r="V38" s="142"/>
      <c r="W38" s="144" t="s">
        <v>12</v>
      </c>
      <c r="X38" s="51" t="s">
        <v>12</v>
      </c>
      <c r="Y38" s="51"/>
      <c r="Z38" s="123">
        <v>31</v>
      </c>
    </row>
  </sheetData>
  <mergeCells count="10">
    <mergeCell ref="V6:X6"/>
    <mergeCell ref="H1:J1"/>
    <mergeCell ref="K1:T1"/>
    <mergeCell ref="U1:Y1"/>
    <mergeCell ref="D4:E4"/>
    <mergeCell ref="B6:D6"/>
    <mergeCell ref="F6:H6"/>
    <mergeCell ref="J6:L6"/>
    <mergeCell ref="N6:P6"/>
    <mergeCell ref="R6:T6"/>
  </mergeCells>
  <phoneticPr fontId="19"/>
  <conditionalFormatting sqref="C8:C35">
    <cfRule type="expression" dxfId="155" priority="24">
      <formula>C8&lt;&gt;#REF!</formula>
    </cfRule>
    <cfRule type="expression" dxfId="154" priority="27">
      <formula>WEEKDAY(B8)&lt;&gt;7</formula>
    </cfRule>
    <cfRule type="expression" dxfId="153" priority="26">
      <formula>WEEKDAY(B8)=7</formula>
    </cfRule>
    <cfRule type="expression" dxfId="152" priority="25">
      <formula>WEEKDAY(B8)=1</formula>
    </cfRule>
  </conditionalFormatting>
  <conditionalFormatting sqref="C37">
    <cfRule type="expression" dxfId="151" priority="46">
      <formula>WEEKDAY(B37)=7</formula>
    </cfRule>
    <cfRule type="expression" dxfId="150" priority="45">
      <formula>WEEKDAY(B37)=1</formula>
    </cfRule>
    <cfRule type="expression" dxfId="149" priority="44">
      <formula>C37&lt;&gt;#REF!</formula>
    </cfRule>
    <cfRule type="expression" dxfId="148" priority="47">
      <formula>WEEKDAY(B37)&lt;&gt;7</formula>
    </cfRule>
  </conditionalFormatting>
  <conditionalFormatting sqref="G8:G9">
    <cfRule type="expression" dxfId="147" priority="42">
      <formula>WEEKDAY(F8)=7</formula>
    </cfRule>
    <cfRule type="expression" dxfId="146" priority="43">
      <formula>WEEKDAY(F8)&lt;&gt;7</formula>
    </cfRule>
    <cfRule type="expression" dxfId="145" priority="41">
      <formula>WEEKDAY(F8)=1</formula>
    </cfRule>
    <cfRule type="expression" dxfId="144" priority="40">
      <formula>G8&lt;&gt;#REF!</formula>
    </cfRule>
  </conditionalFormatting>
  <conditionalFormatting sqref="G14:G38">
    <cfRule type="expression" dxfId="143" priority="22">
      <formula>WEEKDAY(F14)=7</formula>
    </cfRule>
    <cfRule type="expression" dxfId="142" priority="23">
      <formula>WEEKDAY(F14)&lt;&gt;7</formula>
    </cfRule>
    <cfRule type="expression" dxfId="141" priority="20">
      <formula>G14&lt;&gt;#REF!</formula>
    </cfRule>
    <cfRule type="expression" dxfId="140" priority="21">
      <formula>WEEKDAY(F14)=1</formula>
    </cfRule>
  </conditionalFormatting>
  <conditionalFormatting sqref="K8:K37">
    <cfRule type="expression" dxfId="139" priority="16">
      <formula>K8&lt;&gt;#REF!</formula>
    </cfRule>
    <cfRule type="expression" dxfId="138" priority="17">
      <formula>WEEKDAY(J8)=1</formula>
    </cfRule>
    <cfRule type="expression" dxfId="137" priority="18">
      <formula>WEEKDAY(J8)=7</formula>
    </cfRule>
    <cfRule type="expression" dxfId="136" priority="19">
      <formula>WEEKDAY(J8)&lt;&gt;7</formula>
    </cfRule>
  </conditionalFormatting>
  <conditionalFormatting sqref="O8:O26">
    <cfRule type="expression" dxfId="135" priority="6">
      <formula>WEEKDAY(N8)=7</formula>
    </cfRule>
    <cfRule type="expression" dxfId="134" priority="4">
      <formula>O8&lt;&gt;#REF!</formula>
    </cfRule>
    <cfRule type="expression" dxfId="133" priority="7">
      <formula>WEEKDAY(N8)&lt;&gt;7</formula>
    </cfRule>
    <cfRule type="expression" dxfId="132" priority="5">
      <formula>WEEKDAY(N8)=1</formula>
    </cfRule>
  </conditionalFormatting>
  <conditionalFormatting sqref="O28:O38 W31:W37">
    <cfRule type="expression" dxfId="131" priority="29">
      <formula>O28&lt;&gt;#REF!</formula>
    </cfRule>
  </conditionalFormatting>
  <conditionalFormatting sqref="O28:O38">
    <cfRule type="expression" dxfId="130" priority="38">
      <formula>WEEKDAY(N28)=7</formula>
    </cfRule>
    <cfRule type="expression" dxfId="129" priority="39">
      <formula>WEEKDAY(N28)&lt;&gt;7</formula>
    </cfRule>
    <cfRule type="expression" dxfId="128" priority="37">
      <formula>WEEKDAY(N28)=1</formula>
    </cfRule>
  </conditionalFormatting>
  <conditionalFormatting sqref="P22">
    <cfRule type="expression" dxfId="127" priority="2">
      <formula>P22&lt;&gt;#REF!</formula>
    </cfRule>
  </conditionalFormatting>
  <conditionalFormatting sqref="S8:S17">
    <cfRule type="expression" dxfId="126" priority="33">
      <formula>S8&lt;&gt;#REF!</formula>
    </cfRule>
    <cfRule type="expression" dxfId="125" priority="34">
      <formula>WEEKDAY(R8)=1</formula>
    </cfRule>
    <cfRule type="expression" dxfId="124" priority="35">
      <formula>WEEKDAY(R8)=7</formula>
    </cfRule>
    <cfRule type="expression" dxfId="123" priority="36">
      <formula>WEEKDAY(R8)&lt;&gt;7</formula>
    </cfRule>
  </conditionalFormatting>
  <conditionalFormatting sqref="S19:S38">
    <cfRule type="expression" dxfId="122" priority="15">
      <formula>WEEKDAY(R19)&lt;&gt;7</formula>
    </cfRule>
    <cfRule type="expression" dxfId="121" priority="14">
      <formula>WEEKDAY(R19)=7</formula>
    </cfRule>
    <cfRule type="expression" dxfId="120" priority="13">
      <formula>WEEKDAY(R19)=1</formula>
    </cfRule>
    <cfRule type="expression" dxfId="119" priority="12">
      <formula>S19&lt;&gt;#REF!</formula>
    </cfRule>
  </conditionalFormatting>
  <conditionalFormatting sqref="T19">
    <cfRule type="expression" dxfId="118" priority="1">
      <formula>T19&lt;&gt;#REF!</formula>
    </cfRule>
  </conditionalFormatting>
  <conditionalFormatting sqref="T21">
    <cfRule type="expression" dxfId="117" priority="3">
      <formula>T21&lt;&gt;#REF!</formula>
    </cfRule>
  </conditionalFormatting>
  <conditionalFormatting sqref="T22:U22">
    <cfRule type="expression" dxfId="116" priority="28">
      <formula>T22&lt;&gt;#REF!</formula>
    </cfRule>
  </conditionalFormatting>
  <conditionalFormatting sqref="W8:W27">
    <cfRule type="expression" dxfId="115" priority="11">
      <formula>WEEKDAY(V8)&lt;&gt;7</formula>
    </cfRule>
    <cfRule type="expression" dxfId="114" priority="10">
      <formula>WEEKDAY(V8)=7</formula>
    </cfRule>
    <cfRule type="expression" dxfId="113" priority="9">
      <formula>WEEKDAY(V8)=1</formula>
    </cfRule>
    <cfRule type="expression" dxfId="112" priority="8">
      <formula>W8&lt;&gt;#REF!</formula>
    </cfRule>
  </conditionalFormatting>
  <conditionalFormatting sqref="W31:W37">
    <cfRule type="expression" dxfId="111" priority="30">
      <formula>WEEKDAY(V31)=1</formula>
    </cfRule>
    <cfRule type="expression" dxfId="110" priority="31">
      <formula>WEEKDAY(V31)=7</formula>
    </cfRule>
    <cfRule type="expression" dxfId="109" priority="32">
      <formula>WEEKDAY(V31)&lt;&gt;7</formula>
    </cfRule>
  </conditionalFormatting>
  <printOptions horizontalCentered="1" verticalCentered="1"/>
  <pageMargins left="0.23622047244094491" right="0.23622047244094491" top="0.35433070866141736" bottom="0.15748031496062992" header="0.11811023622047245" footer="0.11811023622047245"/>
  <pageSetup paperSize="8" scale="23" orientation="landscape" r:id="rId1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C5D8D-1A8C-4EA1-AFE3-933F71442BF0}">
  <sheetPr>
    <tabColor rgb="FFFF0000"/>
    <pageSetUpPr fitToPage="1"/>
  </sheetPr>
  <dimension ref="A1:AA39"/>
  <sheetViews>
    <sheetView topLeftCell="A27" zoomScale="50" zoomScaleNormal="50" zoomScaleSheetLayoutView="25" workbookViewId="0">
      <pane xSplit="1" topLeftCell="H1" activePane="topRight" state="frozen"/>
      <selection pane="topRight" activeCell="T32" sqref="T32"/>
      <selection activeCell="T32" sqref="T32"/>
    </sheetView>
  </sheetViews>
  <sheetFormatPr defaultColWidth="8.875" defaultRowHeight="20.25" customHeight="1" outlineLevelCol="2"/>
  <cols>
    <col min="1" max="1" width="7.875" customWidth="1"/>
    <col min="2" max="2" width="6.625" customWidth="1" outlineLevel="1"/>
    <col min="3" max="3" width="7.625" customWidth="1" outlineLevel="1"/>
    <col min="4" max="4" width="70.625" customWidth="1" outlineLevel="1"/>
    <col min="5" max="5" width="30.625" customWidth="1" outlineLevel="1"/>
    <col min="6" max="6" width="6.625" customWidth="1" outlineLevel="2"/>
    <col min="7" max="7" width="7.625" customWidth="1" outlineLevel="2"/>
    <col min="8" max="8" width="70.625" customWidth="1" outlineLevel="2"/>
    <col min="9" max="9" width="30.625" customWidth="1" outlineLevel="2"/>
    <col min="10" max="10" width="6.625" customWidth="1" outlineLevel="1"/>
    <col min="11" max="11" width="7.625" customWidth="1"/>
    <col min="12" max="12" width="70.625" customWidth="1"/>
    <col min="13" max="13" width="30.625" customWidth="1"/>
    <col min="14" max="14" width="6.625" bestFit="1" customWidth="1"/>
    <col min="15" max="15" width="7.625" customWidth="1"/>
    <col min="16" max="16" width="70.625" customWidth="1"/>
    <col min="17" max="17" width="30.625" customWidth="1"/>
    <col min="18" max="18" width="6.625" customWidth="1"/>
    <col min="19" max="19" width="7.625" customWidth="1"/>
    <col min="20" max="20" width="70.625" customWidth="1"/>
    <col min="21" max="21" width="30.625" customWidth="1"/>
    <col min="22" max="22" width="6.625" bestFit="1" customWidth="1"/>
    <col min="23" max="23" width="7.625" customWidth="1"/>
    <col min="24" max="24" width="70.625" customWidth="1"/>
    <col min="25" max="25" width="30.625" customWidth="1"/>
    <col min="26" max="26" width="7.625" customWidth="1"/>
  </cols>
  <sheetData>
    <row r="1" spans="1:27" ht="59.25" customHeight="1">
      <c r="A1" s="1"/>
      <c r="B1" s="2"/>
      <c r="C1" s="2"/>
      <c r="D1" s="3" t="s">
        <v>0</v>
      </c>
      <c r="E1" s="188">
        <f ca="1">TODAY()</f>
        <v>46064</v>
      </c>
      <c r="F1" s="4"/>
      <c r="G1" s="4"/>
      <c r="H1" s="388">
        <v>2026</v>
      </c>
      <c r="I1" s="387"/>
      <c r="J1" s="387"/>
      <c r="K1" s="389" t="s">
        <v>109</v>
      </c>
      <c r="L1" s="389"/>
      <c r="M1" s="389"/>
      <c r="N1" s="389"/>
      <c r="O1" s="389"/>
      <c r="P1" s="389"/>
      <c r="Q1" s="389"/>
      <c r="R1" s="389"/>
      <c r="S1" s="389"/>
      <c r="T1" s="389"/>
      <c r="U1" s="385" t="s">
        <v>2</v>
      </c>
      <c r="V1" s="385"/>
      <c r="W1" s="385"/>
      <c r="X1" s="385"/>
      <c r="Y1" s="385"/>
      <c r="Z1" s="32"/>
      <c r="AA1" s="32"/>
    </row>
    <row r="2" spans="1:27" ht="30" customHeight="1">
      <c r="A2" s="5"/>
      <c r="B2" s="5"/>
      <c r="C2" s="5"/>
      <c r="D2" s="190" t="s">
        <v>3</v>
      </c>
      <c r="E2" s="6"/>
      <c r="F2" s="5"/>
      <c r="G2" s="5"/>
      <c r="H2" s="359" t="s">
        <v>4</v>
      </c>
      <c r="I2" s="329" t="s">
        <v>5</v>
      </c>
      <c r="J2" s="5"/>
      <c r="K2" s="5"/>
      <c r="L2" s="6"/>
      <c r="M2" s="6"/>
      <c r="N2" s="5"/>
      <c r="O2" s="5"/>
      <c r="P2" s="6"/>
      <c r="Q2" s="6"/>
      <c r="R2" s="5"/>
      <c r="S2" s="5"/>
      <c r="T2" s="6"/>
      <c r="U2" s="6"/>
      <c r="V2" s="5"/>
      <c r="W2" s="5"/>
      <c r="X2" s="7"/>
      <c r="Y2" s="194"/>
      <c r="Z2" s="8"/>
    </row>
    <row r="3" spans="1:27" ht="30" customHeight="1">
      <c r="A3" s="5"/>
      <c r="B3" s="5"/>
      <c r="C3" s="5"/>
      <c r="D3" s="6"/>
      <c r="E3" s="6"/>
      <c r="F3" s="5"/>
      <c r="G3" s="5"/>
      <c r="H3" s="359" t="s">
        <v>6</v>
      </c>
      <c r="I3" s="360" t="s">
        <v>7</v>
      </c>
      <c r="J3" s="5"/>
      <c r="K3" s="5"/>
      <c r="L3" s="6"/>
      <c r="M3" s="6"/>
      <c r="N3" s="5"/>
      <c r="O3" s="5"/>
      <c r="P3" s="6"/>
      <c r="Q3" s="6"/>
      <c r="R3" s="5"/>
      <c r="S3" s="5"/>
      <c r="T3" s="6"/>
      <c r="U3" s="6"/>
      <c r="V3" s="5"/>
      <c r="W3" s="5"/>
      <c r="X3" s="7"/>
      <c r="Y3" s="329"/>
      <c r="Z3" s="8"/>
    </row>
    <row r="4" spans="1:27" ht="30" customHeight="1">
      <c r="A4" s="5"/>
      <c r="B4" s="5"/>
      <c r="C4" s="5"/>
      <c r="D4" s="386"/>
      <c r="E4" s="387"/>
      <c r="F4" s="5"/>
      <c r="G4" s="5"/>
      <c r="H4" s="185" t="s">
        <v>8</v>
      </c>
      <c r="I4" s="194"/>
      <c r="J4" s="5"/>
      <c r="K4" s="5"/>
      <c r="L4" s="6"/>
      <c r="M4" s="6"/>
      <c r="N4" s="5"/>
      <c r="O4" s="5"/>
      <c r="P4" s="6"/>
      <c r="Q4" s="6"/>
      <c r="R4" s="5"/>
      <c r="S4" s="5"/>
      <c r="T4" s="6"/>
      <c r="U4" s="6"/>
      <c r="V4" s="5"/>
      <c r="W4" s="5"/>
      <c r="X4" s="185"/>
      <c r="Y4" s="330"/>
      <c r="Z4" s="8"/>
    </row>
    <row r="5" spans="1:27" ht="20.25" customHeight="1">
      <c r="A5" s="5"/>
      <c r="B5" s="5"/>
      <c r="C5" s="5"/>
      <c r="D5" s="6"/>
      <c r="E5" s="6"/>
      <c r="F5" s="5"/>
      <c r="G5" s="5"/>
      <c r="H5" s="6"/>
      <c r="I5" s="6"/>
      <c r="J5" s="5"/>
      <c r="K5" s="5"/>
      <c r="L5" s="6"/>
      <c r="M5" s="6"/>
      <c r="N5" s="5"/>
      <c r="O5" s="5"/>
      <c r="P5" s="6"/>
      <c r="Q5" s="6"/>
      <c r="R5" s="5"/>
      <c r="S5" s="5"/>
      <c r="T5" s="6"/>
      <c r="U5" s="6"/>
      <c r="V5" s="5"/>
      <c r="W5" s="5"/>
      <c r="X5" s="6"/>
      <c r="Y5" s="6"/>
      <c r="Z5" s="5"/>
    </row>
    <row r="6" spans="1:27" ht="44.25">
      <c r="A6" s="107"/>
      <c r="B6" s="378">
        <v>10</v>
      </c>
      <c r="C6" s="379"/>
      <c r="D6" s="380"/>
      <c r="E6" s="108" t="s">
        <v>9</v>
      </c>
      <c r="F6" s="378">
        <v>11</v>
      </c>
      <c r="G6" s="379"/>
      <c r="H6" s="380"/>
      <c r="I6" s="108" t="s">
        <v>9</v>
      </c>
      <c r="J6" s="378">
        <v>12</v>
      </c>
      <c r="K6" s="379"/>
      <c r="L6" s="380"/>
      <c r="M6" s="108" t="s">
        <v>9</v>
      </c>
      <c r="N6" s="378">
        <v>1</v>
      </c>
      <c r="O6" s="379"/>
      <c r="P6" s="380"/>
      <c r="Q6" s="108" t="s">
        <v>9</v>
      </c>
      <c r="R6" s="378">
        <v>2</v>
      </c>
      <c r="S6" s="379"/>
      <c r="T6" s="380"/>
      <c r="U6" s="108" t="s">
        <v>9</v>
      </c>
      <c r="V6" s="378">
        <v>3</v>
      </c>
      <c r="W6" s="379"/>
      <c r="X6" s="380"/>
      <c r="Y6" s="108" t="s">
        <v>9</v>
      </c>
      <c r="Z6" s="109"/>
    </row>
    <row r="7" spans="1:27" ht="44.25">
      <c r="A7" s="110"/>
      <c r="B7" s="9"/>
      <c r="C7" s="9"/>
      <c r="D7" s="9" t="s">
        <v>10</v>
      </c>
      <c r="E7" s="9" t="s">
        <v>11</v>
      </c>
      <c r="F7" s="9"/>
      <c r="G7" s="9"/>
      <c r="H7" s="9" t="s">
        <v>10</v>
      </c>
      <c r="I7" s="9" t="s">
        <v>11</v>
      </c>
      <c r="J7" s="9"/>
      <c r="K7" s="9"/>
      <c r="L7" s="9" t="s">
        <v>10</v>
      </c>
      <c r="M7" s="9" t="s">
        <v>11</v>
      </c>
      <c r="N7" s="9"/>
      <c r="O7" s="9"/>
      <c r="P7" s="9" t="s">
        <v>10</v>
      </c>
      <c r="Q7" s="9" t="s">
        <v>11</v>
      </c>
      <c r="R7" s="9"/>
      <c r="S7" s="9"/>
      <c r="T7" s="9" t="s">
        <v>10</v>
      </c>
      <c r="U7" s="9" t="s">
        <v>11</v>
      </c>
      <c r="V7" s="9"/>
      <c r="W7" s="9"/>
      <c r="X7" s="9" t="s">
        <v>10</v>
      </c>
      <c r="Y7" s="9" t="s">
        <v>11</v>
      </c>
      <c r="Z7" s="111"/>
    </row>
    <row r="8" spans="1:27" ht="100.35" customHeight="1">
      <c r="A8" s="112">
        <v>1</v>
      </c>
      <c r="B8" s="10">
        <f>DATE($H$1,$B$6,$A8)</f>
        <v>46296</v>
      </c>
      <c r="C8" s="29">
        <v>2</v>
      </c>
      <c r="D8" s="41"/>
      <c r="E8" s="41"/>
      <c r="F8" s="10">
        <f>DATE($H$1,$F$6,$A8)</f>
        <v>46327</v>
      </c>
      <c r="G8" s="29"/>
      <c r="H8" s="224"/>
      <c r="I8" s="67"/>
      <c r="J8" s="10">
        <f>DATE($H$1,$J$6,$A8)</f>
        <v>46357</v>
      </c>
      <c r="K8" s="29">
        <v>9</v>
      </c>
      <c r="L8" s="259"/>
      <c r="M8" s="275"/>
      <c r="N8" s="10">
        <f>DATE($H$1+1,$N$6,$A8)</f>
        <v>46388</v>
      </c>
      <c r="O8" s="38"/>
      <c r="P8" s="46" t="s">
        <v>110</v>
      </c>
      <c r="Q8" s="46"/>
      <c r="R8" s="10">
        <f>DATE($H$1+1,$R$6,$A8)</f>
        <v>46419</v>
      </c>
      <c r="S8" s="321"/>
      <c r="T8" s="276" t="s">
        <v>111</v>
      </c>
      <c r="U8" s="357"/>
      <c r="V8" s="11">
        <f>DATE($H$1+1,$V$6,$A8)</f>
        <v>46447</v>
      </c>
      <c r="W8" s="29" t="s">
        <v>12</v>
      </c>
      <c r="X8" s="41" t="s">
        <v>19</v>
      </c>
      <c r="Y8" s="53"/>
      <c r="Z8" s="113">
        <v>1</v>
      </c>
    </row>
    <row r="9" spans="1:27" ht="100.35" customHeight="1">
      <c r="A9" s="112">
        <v>2</v>
      </c>
      <c r="B9" s="10">
        <f t="shared" ref="B9:B38" si="0">DATE($H$1,$B$6,$A9)</f>
        <v>46297</v>
      </c>
      <c r="C9" s="29">
        <v>2</v>
      </c>
      <c r="D9" s="347" t="s">
        <v>112</v>
      </c>
      <c r="E9" s="41"/>
      <c r="F9" s="10">
        <f t="shared" ref="F9:F37" si="1">DATE($H$1,$F$6,$A9)</f>
        <v>46328</v>
      </c>
      <c r="G9" s="29">
        <v>6</v>
      </c>
      <c r="H9" s="67"/>
      <c r="I9" s="67"/>
      <c r="J9" s="10">
        <f t="shared" ref="J9:J38" si="2">DATE($H$1,$J$6,$A9)</f>
        <v>46358</v>
      </c>
      <c r="K9" s="29">
        <v>9</v>
      </c>
      <c r="L9" s="225" t="s">
        <v>113</v>
      </c>
      <c r="M9" s="276"/>
      <c r="N9" s="10">
        <f t="shared" ref="N9:N38" si="3">DATE($H$1+1,$N$6,$A9)</f>
        <v>46389</v>
      </c>
      <c r="O9" s="29" t="s">
        <v>12</v>
      </c>
      <c r="P9" s="46" t="s">
        <v>110</v>
      </c>
      <c r="Q9" s="46"/>
      <c r="R9" s="10">
        <f t="shared" ref="R9:R35" si="4">DATE($H$1+1,$R$6,$A9)</f>
        <v>46420</v>
      </c>
      <c r="S9" s="321"/>
      <c r="T9" s="276" t="s">
        <v>114</v>
      </c>
      <c r="U9" s="357"/>
      <c r="V9" s="11">
        <f t="shared" ref="V9:V38" si="5">DATE($H$1+1,$V$6,$A9)</f>
        <v>46448</v>
      </c>
      <c r="W9" s="29" t="s">
        <v>12</v>
      </c>
      <c r="X9" s="102" t="s">
        <v>115</v>
      </c>
      <c r="Y9" s="54"/>
      <c r="Z9" s="113">
        <v>2</v>
      </c>
    </row>
    <row r="10" spans="1:27" ht="100.35" customHeight="1">
      <c r="A10" s="112">
        <v>3</v>
      </c>
      <c r="B10" s="10">
        <f t="shared" si="0"/>
        <v>46298</v>
      </c>
      <c r="C10" s="29"/>
      <c r="D10" s="42" t="s">
        <v>116</v>
      </c>
      <c r="E10" s="232"/>
      <c r="F10" s="10">
        <f t="shared" si="1"/>
        <v>46329</v>
      </c>
      <c r="G10" s="38"/>
      <c r="H10" s="46" t="s">
        <v>117</v>
      </c>
      <c r="I10" s="46"/>
      <c r="J10" s="10">
        <f t="shared" si="2"/>
        <v>46359</v>
      </c>
      <c r="K10" s="29">
        <v>9</v>
      </c>
      <c r="L10" s="41"/>
      <c r="M10" s="41" t="s">
        <v>26</v>
      </c>
      <c r="N10" s="10">
        <f t="shared" si="3"/>
        <v>46390</v>
      </c>
      <c r="O10" s="29" t="s">
        <v>12</v>
      </c>
      <c r="P10" s="46" t="s">
        <v>118</v>
      </c>
      <c r="Q10" s="46"/>
      <c r="R10" s="10">
        <f t="shared" si="4"/>
        <v>46421</v>
      </c>
      <c r="S10" s="370">
        <v>15</v>
      </c>
      <c r="T10" s="254" t="s">
        <v>119</v>
      </c>
      <c r="U10" s="357" t="s">
        <v>63</v>
      </c>
      <c r="V10" s="11">
        <f t="shared" si="5"/>
        <v>46449</v>
      </c>
      <c r="W10" s="29" t="s">
        <v>12</v>
      </c>
      <c r="X10" s="102" t="s">
        <v>120</v>
      </c>
      <c r="Y10" s="54"/>
      <c r="Z10" s="113">
        <v>3</v>
      </c>
    </row>
    <row r="11" spans="1:27" ht="100.35" customHeight="1">
      <c r="A11" s="112">
        <v>4</v>
      </c>
      <c r="B11" s="10">
        <f t="shared" si="0"/>
        <v>46299</v>
      </c>
      <c r="C11" s="29"/>
      <c r="D11" s="42"/>
      <c r="E11" s="306"/>
      <c r="F11" s="11">
        <f t="shared" si="1"/>
        <v>46330</v>
      </c>
      <c r="G11" s="29">
        <v>6</v>
      </c>
      <c r="H11" s="42" t="s">
        <v>19</v>
      </c>
      <c r="I11" s="276"/>
      <c r="J11" s="10">
        <f t="shared" si="2"/>
        <v>46360</v>
      </c>
      <c r="K11" s="29">
        <v>9</v>
      </c>
      <c r="L11" s="259" t="s">
        <v>121</v>
      </c>
      <c r="M11" s="41"/>
      <c r="N11" s="10">
        <f t="shared" si="3"/>
        <v>46391</v>
      </c>
      <c r="O11" s="29">
        <v>13</v>
      </c>
      <c r="P11" s="41" t="s">
        <v>122</v>
      </c>
      <c r="Q11" s="41"/>
      <c r="R11" s="10">
        <f t="shared" si="4"/>
        <v>46422</v>
      </c>
      <c r="S11" s="370">
        <v>15</v>
      </c>
      <c r="T11" s="254" t="s">
        <v>123</v>
      </c>
      <c r="U11" s="41" t="s">
        <v>124</v>
      </c>
      <c r="V11" s="11">
        <f t="shared" si="5"/>
        <v>46450</v>
      </c>
      <c r="W11" s="29" t="s">
        <v>12</v>
      </c>
      <c r="X11" s="41"/>
      <c r="Y11" s="54" t="s">
        <v>26</v>
      </c>
      <c r="Z11" s="113">
        <v>4</v>
      </c>
    </row>
    <row r="12" spans="1:27" ht="100.35" customHeight="1">
      <c r="A12" s="112">
        <v>5</v>
      </c>
      <c r="B12" s="10">
        <f t="shared" si="0"/>
        <v>46300</v>
      </c>
      <c r="C12" s="29">
        <v>2</v>
      </c>
      <c r="D12" s="41"/>
      <c r="E12" s="70"/>
      <c r="F12" s="10">
        <f t="shared" si="1"/>
        <v>46331</v>
      </c>
      <c r="G12" s="219" t="s">
        <v>125</v>
      </c>
      <c r="H12" s="42" t="s">
        <v>126</v>
      </c>
      <c r="I12" s="42" t="s">
        <v>26</v>
      </c>
      <c r="J12" s="10">
        <f t="shared" si="2"/>
        <v>46361</v>
      </c>
      <c r="K12" s="29"/>
      <c r="L12" s="259"/>
      <c r="M12" s="275"/>
      <c r="N12" s="10">
        <f t="shared" si="3"/>
        <v>46392</v>
      </c>
      <c r="O12" s="29">
        <v>13</v>
      </c>
      <c r="P12" s="41"/>
      <c r="Q12" s="41"/>
      <c r="R12" s="10">
        <f t="shared" si="4"/>
        <v>46423</v>
      </c>
      <c r="S12" s="370">
        <v>15</v>
      </c>
      <c r="T12" s="254" t="s">
        <v>123</v>
      </c>
      <c r="U12" s="357" t="s">
        <v>63</v>
      </c>
      <c r="V12" s="11">
        <f t="shared" si="5"/>
        <v>46451</v>
      </c>
      <c r="W12" s="29" t="s">
        <v>12</v>
      </c>
      <c r="X12" s="41" t="s">
        <v>127</v>
      </c>
      <c r="Y12" s="54"/>
      <c r="Z12" s="113">
        <v>5</v>
      </c>
    </row>
    <row r="13" spans="1:27" ht="100.35" customHeight="1">
      <c r="A13" s="112">
        <v>6</v>
      </c>
      <c r="B13" s="10">
        <f t="shared" si="0"/>
        <v>46301</v>
      </c>
      <c r="C13" s="29">
        <v>2</v>
      </c>
      <c r="D13" s="41" t="s">
        <v>128</v>
      </c>
      <c r="E13" s="41"/>
      <c r="F13" s="10">
        <f t="shared" si="1"/>
        <v>46332</v>
      </c>
      <c r="G13" s="222"/>
      <c r="H13" s="42" t="s">
        <v>129</v>
      </c>
      <c r="I13" s="42"/>
      <c r="J13" s="10">
        <f t="shared" si="2"/>
        <v>46362</v>
      </c>
      <c r="K13" s="29"/>
      <c r="L13" s="41"/>
      <c r="M13" s="41"/>
      <c r="N13" s="10">
        <f t="shared" si="3"/>
        <v>46393</v>
      </c>
      <c r="O13" s="29">
        <v>13</v>
      </c>
      <c r="P13" s="41" t="s">
        <v>130</v>
      </c>
      <c r="Q13" s="41"/>
      <c r="R13" s="10">
        <f t="shared" si="4"/>
        <v>46424</v>
      </c>
      <c r="S13" s="29"/>
      <c r="T13" s="300"/>
      <c r="U13" s="259"/>
      <c r="V13" s="11">
        <f t="shared" si="5"/>
        <v>46452</v>
      </c>
      <c r="W13" s="29" t="s">
        <v>12</v>
      </c>
      <c r="X13" s="259"/>
      <c r="Y13" s="259"/>
      <c r="Z13" s="113">
        <v>6</v>
      </c>
    </row>
    <row r="14" spans="1:27" ht="100.35" customHeight="1">
      <c r="A14" s="112">
        <v>7</v>
      </c>
      <c r="B14" s="10">
        <f t="shared" si="0"/>
        <v>46302</v>
      </c>
      <c r="C14" s="29">
        <v>2</v>
      </c>
      <c r="D14" s="41" t="s">
        <v>19</v>
      </c>
      <c r="E14" s="276"/>
      <c r="F14" s="10">
        <f t="shared" si="1"/>
        <v>46333</v>
      </c>
      <c r="G14" s="219"/>
      <c r="H14" s="41" t="s">
        <v>131</v>
      </c>
      <c r="I14" s="42"/>
      <c r="J14" s="10">
        <f t="shared" si="2"/>
        <v>46363</v>
      </c>
      <c r="K14" s="29">
        <v>10</v>
      </c>
      <c r="L14" s="41"/>
      <c r="M14" s="55"/>
      <c r="N14" s="10">
        <f t="shared" si="3"/>
        <v>46394</v>
      </c>
      <c r="O14" s="29">
        <v>13</v>
      </c>
      <c r="P14" s="102"/>
      <c r="Q14" s="102" t="s">
        <v>26</v>
      </c>
      <c r="R14" s="10">
        <f t="shared" si="4"/>
        <v>46425</v>
      </c>
      <c r="S14" s="29"/>
      <c r="T14" s="260"/>
      <c r="U14" s="45"/>
      <c r="V14" s="11">
        <f t="shared" si="5"/>
        <v>46453</v>
      </c>
      <c r="W14" s="29" t="s">
        <v>12</v>
      </c>
      <c r="X14" s="41"/>
      <c r="Y14" s="54"/>
      <c r="Z14" s="113">
        <v>7</v>
      </c>
    </row>
    <row r="15" spans="1:27" ht="100.35" customHeight="1">
      <c r="A15" s="112">
        <v>8</v>
      </c>
      <c r="B15" s="10">
        <f t="shared" si="0"/>
        <v>46303</v>
      </c>
      <c r="C15" s="29">
        <v>3</v>
      </c>
      <c r="D15" s="41" t="s">
        <v>90</v>
      </c>
      <c r="E15" s="41" t="s">
        <v>26</v>
      </c>
      <c r="F15" s="10">
        <f t="shared" si="1"/>
        <v>46334</v>
      </c>
      <c r="G15" s="29"/>
      <c r="H15" s="45" t="s">
        <v>132</v>
      </c>
      <c r="I15" s="41"/>
      <c r="J15" s="10">
        <f t="shared" si="2"/>
        <v>46364</v>
      </c>
      <c r="K15" s="29">
        <v>10</v>
      </c>
      <c r="L15" s="41"/>
      <c r="M15" s="275"/>
      <c r="N15" s="10">
        <f t="shared" si="3"/>
        <v>46395</v>
      </c>
      <c r="O15" s="29">
        <v>13</v>
      </c>
      <c r="P15" s="102"/>
      <c r="Q15" s="97"/>
      <c r="R15" s="11">
        <f t="shared" si="4"/>
        <v>46426</v>
      </c>
      <c r="S15" s="29">
        <v>15</v>
      </c>
      <c r="T15" s="254" t="s">
        <v>123</v>
      </c>
      <c r="U15" s="357" t="s">
        <v>63</v>
      </c>
      <c r="V15" s="11">
        <f t="shared" si="5"/>
        <v>46454</v>
      </c>
      <c r="W15" s="29" t="s">
        <v>12</v>
      </c>
      <c r="X15" s="41" t="s">
        <v>12</v>
      </c>
      <c r="Y15" s="54"/>
      <c r="Z15" s="113">
        <v>8</v>
      </c>
    </row>
    <row r="16" spans="1:27" ht="100.35" customHeight="1">
      <c r="A16" s="112">
        <v>9</v>
      </c>
      <c r="B16" s="10">
        <f t="shared" si="0"/>
        <v>46304</v>
      </c>
      <c r="C16" s="29">
        <v>3</v>
      </c>
      <c r="D16" s="41" t="s">
        <v>93</v>
      </c>
      <c r="E16" s="126"/>
      <c r="F16" s="10">
        <f t="shared" si="1"/>
        <v>46335</v>
      </c>
      <c r="G16" s="219" t="s">
        <v>125</v>
      </c>
      <c r="H16" s="42" t="s">
        <v>133</v>
      </c>
      <c r="I16" s="45"/>
      <c r="J16" s="10">
        <f t="shared" si="2"/>
        <v>46365</v>
      </c>
      <c r="K16" s="29">
        <v>10</v>
      </c>
      <c r="L16" s="41"/>
      <c r="M16" s="276"/>
      <c r="N16" s="10">
        <f t="shared" si="3"/>
        <v>46396</v>
      </c>
      <c r="O16" s="155"/>
      <c r="P16" s="362" t="s">
        <v>91</v>
      </c>
      <c r="Q16" s="280"/>
      <c r="R16" s="11">
        <f t="shared" si="4"/>
        <v>46427</v>
      </c>
      <c r="S16" s="29">
        <v>15</v>
      </c>
      <c r="T16" s="254" t="s">
        <v>123</v>
      </c>
      <c r="U16" s="357" t="s">
        <v>63</v>
      </c>
      <c r="V16" s="11">
        <f t="shared" si="5"/>
        <v>46455</v>
      </c>
      <c r="W16" s="29" t="s">
        <v>12</v>
      </c>
      <c r="X16" s="102"/>
      <c r="Y16" s="175" t="s">
        <v>134</v>
      </c>
      <c r="Z16" s="141">
        <v>9</v>
      </c>
    </row>
    <row r="17" spans="1:26" ht="100.35" customHeight="1">
      <c r="A17" s="116">
        <v>10</v>
      </c>
      <c r="B17" s="10">
        <f t="shared" si="0"/>
        <v>46305</v>
      </c>
      <c r="C17" s="167"/>
      <c r="D17" s="41" t="s">
        <v>135</v>
      </c>
      <c r="E17" s="168"/>
      <c r="F17" s="10">
        <f t="shared" si="1"/>
        <v>46336</v>
      </c>
      <c r="G17" s="253"/>
      <c r="H17" s="42" t="s">
        <v>136</v>
      </c>
      <c r="I17" s="42"/>
      <c r="J17" s="10">
        <f t="shared" si="2"/>
        <v>46366</v>
      </c>
      <c r="K17" s="127">
        <v>10</v>
      </c>
      <c r="L17" s="41"/>
      <c r="M17" s="97"/>
      <c r="N17" s="10">
        <f t="shared" si="3"/>
        <v>46397</v>
      </c>
      <c r="O17" s="127"/>
      <c r="P17" s="102"/>
      <c r="Q17" s="97"/>
      <c r="R17" s="10">
        <f t="shared" si="4"/>
        <v>46428</v>
      </c>
      <c r="S17" s="127"/>
      <c r="T17" s="303" t="s">
        <v>137</v>
      </c>
      <c r="U17" s="259"/>
      <c r="V17" s="11">
        <f t="shared" si="5"/>
        <v>46456</v>
      </c>
      <c r="W17" s="127" t="s">
        <v>12</v>
      </c>
      <c r="X17" s="102" t="s">
        <v>95</v>
      </c>
      <c r="Y17" s="175" t="s">
        <v>134</v>
      </c>
      <c r="Z17" s="171">
        <v>10</v>
      </c>
    </row>
    <row r="18" spans="1:26" ht="100.35" customHeight="1">
      <c r="A18" s="129">
        <v>11</v>
      </c>
      <c r="B18" s="10">
        <f t="shared" si="0"/>
        <v>46306</v>
      </c>
      <c r="C18" s="130"/>
      <c r="D18" s="45" t="s">
        <v>138</v>
      </c>
      <c r="E18" s="97"/>
      <c r="F18" s="10">
        <f t="shared" si="1"/>
        <v>46337</v>
      </c>
      <c r="G18" s="223"/>
      <c r="H18" s="41" t="s">
        <v>139</v>
      </c>
      <c r="I18" s="42"/>
      <c r="J18" s="10">
        <f t="shared" si="2"/>
        <v>46367</v>
      </c>
      <c r="K18" s="130">
        <v>10</v>
      </c>
      <c r="L18" s="134" t="s">
        <v>140</v>
      </c>
      <c r="M18" s="43"/>
      <c r="N18" s="10">
        <f t="shared" si="3"/>
        <v>46398</v>
      </c>
      <c r="O18" s="169"/>
      <c r="P18" s="216" t="s">
        <v>141</v>
      </c>
      <c r="Q18" s="97"/>
      <c r="R18" s="10">
        <f t="shared" si="4"/>
        <v>46429</v>
      </c>
      <c r="S18" s="38"/>
      <c r="T18" s="131" t="s">
        <v>142</v>
      </c>
      <c r="U18" s="259"/>
      <c r="V18" s="11">
        <f t="shared" si="5"/>
        <v>46457</v>
      </c>
      <c r="W18" s="167" t="s">
        <v>12</v>
      </c>
      <c r="X18" s="102" t="s">
        <v>143</v>
      </c>
      <c r="Y18" s="175" t="s">
        <v>134</v>
      </c>
      <c r="Z18" s="124">
        <v>11</v>
      </c>
    </row>
    <row r="19" spans="1:26" ht="100.35" customHeight="1">
      <c r="A19" s="114">
        <v>12</v>
      </c>
      <c r="B19" s="10">
        <f t="shared" si="0"/>
        <v>46307</v>
      </c>
      <c r="C19" s="149">
        <v>3</v>
      </c>
      <c r="D19" s="126" t="s">
        <v>144</v>
      </c>
      <c r="E19" s="224"/>
      <c r="F19" s="10">
        <f t="shared" si="1"/>
        <v>46338</v>
      </c>
      <c r="G19" s="128">
        <v>7</v>
      </c>
      <c r="H19" s="41"/>
      <c r="I19" s="357" t="s">
        <v>63</v>
      </c>
      <c r="J19" s="10">
        <f t="shared" si="2"/>
        <v>46368</v>
      </c>
      <c r="K19" s="128"/>
      <c r="L19" s="259"/>
      <c r="M19" s="275"/>
      <c r="N19" s="10">
        <f t="shared" si="3"/>
        <v>46399</v>
      </c>
      <c r="O19" s="29">
        <v>14</v>
      </c>
      <c r="P19" s="43" t="s">
        <v>145</v>
      </c>
      <c r="Q19" s="357" t="s">
        <v>63</v>
      </c>
      <c r="R19" s="10">
        <f t="shared" si="4"/>
        <v>46430</v>
      </c>
      <c r="S19" s="217"/>
      <c r="T19" s="43" t="s">
        <v>146</v>
      </c>
      <c r="U19" s="45"/>
      <c r="V19" s="11">
        <f t="shared" si="5"/>
        <v>46458</v>
      </c>
      <c r="W19" s="128" t="s">
        <v>12</v>
      </c>
      <c r="X19" s="102" t="s">
        <v>147</v>
      </c>
      <c r="Y19" s="102"/>
      <c r="Z19" s="113">
        <v>12</v>
      </c>
    </row>
    <row r="20" spans="1:26" ht="100.35" customHeight="1">
      <c r="A20" s="112">
        <v>13</v>
      </c>
      <c r="B20" s="10">
        <f t="shared" si="0"/>
        <v>46308</v>
      </c>
      <c r="C20" s="29">
        <v>3</v>
      </c>
      <c r="D20" s="41" t="s">
        <v>148</v>
      </c>
      <c r="E20" s="275"/>
      <c r="F20" s="10">
        <f t="shared" si="1"/>
        <v>46339</v>
      </c>
      <c r="G20" s="29">
        <v>7</v>
      </c>
      <c r="H20" s="47"/>
      <c r="I20" s="357" t="s">
        <v>63</v>
      </c>
      <c r="J20" s="10">
        <f t="shared" si="2"/>
        <v>46369</v>
      </c>
      <c r="K20" s="29"/>
      <c r="L20" s="53"/>
      <c r="M20" s="41"/>
      <c r="N20" s="10">
        <f t="shared" si="3"/>
        <v>46400</v>
      </c>
      <c r="O20" s="29">
        <v>14</v>
      </c>
      <c r="P20" s="42" t="s">
        <v>149</v>
      </c>
      <c r="Q20" s="357" t="s">
        <v>63</v>
      </c>
      <c r="R20" s="10">
        <f t="shared" si="4"/>
        <v>46431</v>
      </c>
      <c r="S20" s="29"/>
      <c r="T20" s="126" t="s">
        <v>150</v>
      </c>
      <c r="U20" s="41"/>
      <c r="V20" s="11">
        <f t="shared" si="5"/>
        <v>46459</v>
      </c>
      <c r="W20" s="29" t="s">
        <v>12</v>
      </c>
      <c r="X20" s="102"/>
      <c r="Y20" s="102"/>
      <c r="Z20" s="113">
        <v>13</v>
      </c>
    </row>
    <row r="21" spans="1:26" ht="100.35" customHeight="1">
      <c r="A21" s="112">
        <v>14</v>
      </c>
      <c r="B21" s="10">
        <f t="shared" si="0"/>
        <v>46309</v>
      </c>
      <c r="C21" s="29">
        <v>3</v>
      </c>
      <c r="D21" s="45" t="s">
        <v>151</v>
      </c>
      <c r="E21" s="276"/>
      <c r="F21" s="10">
        <f t="shared" si="1"/>
        <v>46340</v>
      </c>
      <c r="G21" s="29"/>
      <c r="H21" s="377" t="s">
        <v>152</v>
      </c>
      <c r="I21" s="47"/>
      <c r="J21" s="10">
        <f t="shared" si="2"/>
        <v>46370</v>
      </c>
      <c r="K21" s="29">
        <v>11</v>
      </c>
      <c r="L21" s="322" t="s">
        <v>153</v>
      </c>
      <c r="M21" s="136"/>
      <c r="N21" s="10">
        <f t="shared" si="3"/>
        <v>46401</v>
      </c>
      <c r="O21" s="29">
        <v>14</v>
      </c>
      <c r="P21" s="43"/>
      <c r="Q21" s="357" t="s">
        <v>63</v>
      </c>
      <c r="R21" s="10">
        <f t="shared" si="4"/>
        <v>46432</v>
      </c>
      <c r="S21" s="29"/>
      <c r="T21" s="260" t="s">
        <v>154</v>
      </c>
      <c r="U21" s="174"/>
      <c r="V21" s="11">
        <f t="shared" si="5"/>
        <v>46460</v>
      </c>
      <c r="W21" s="29" t="s">
        <v>12</v>
      </c>
      <c r="X21" s="103"/>
      <c r="Y21" s="103"/>
      <c r="Z21" s="113">
        <v>14</v>
      </c>
    </row>
    <row r="22" spans="1:26" ht="100.35" customHeight="1">
      <c r="A22" s="112">
        <v>15</v>
      </c>
      <c r="B22" s="10">
        <f t="shared" si="0"/>
        <v>46310</v>
      </c>
      <c r="C22" s="29">
        <v>4</v>
      </c>
      <c r="D22" s="45"/>
      <c r="E22" s="41"/>
      <c r="F22" s="10">
        <f t="shared" si="1"/>
        <v>46341</v>
      </c>
      <c r="G22" s="29"/>
      <c r="H22" s="374" t="s">
        <v>155</v>
      </c>
      <c r="I22" s="43"/>
      <c r="J22" s="10">
        <f t="shared" si="2"/>
        <v>46371</v>
      </c>
      <c r="K22" s="29">
        <v>11</v>
      </c>
      <c r="L22" s="322" t="s">
        <v>153</v>
      </c>
      <c r="M22" s="275"/>
      <c r="N22" s="10">
        <f t="shared" si="3"/>
        <v>46402</v>
      </c>
      <c r="O22" s="29"/>
      <c r="P22" s="43" t="s">
        <v>156</v>
      </c>
      <c r="Q22" s="102"/>
      <c r="R22" s="10">
        <f t="shared" si="4"/>
        <v>46433</v>
      </c>
      <c r="S22" s="29"/>
      <c r="T22" s="43" t="s">
        <v>157</v>
      </c>
      <c r="U22" s="41"/>
      <c r="V22" s="11">
        <f t="shared" si="5"/>
        <v>46461</v>
      </c>
      <c r="W22" s="74" t="s">
        <v>12</v>
      </c>
      <c r="X22" s="102"/>
      <c r="Y22" s="40"/>
      <c r="Z22" s="162">
        <v>15</v>
      </c>
    </row>
    <row r="23" spans="1:26" ht="100.35" customHeight="1">
      <c r="A23" s="112">
        <v>16</v>
      </c>
      <c r="B23" s="10">
        <f t="shared" si="0"/>
        <v>46311</v>
      </c>
      <c r="C23" s="29">
        <v>4</v>
      </c>
      <c r="D23" s="347" t="s">
        <v>158</v>
      </c>
      <c r="E23" s="41"/>
      <c r="F23" s="10">
        <f t="shared" si="1"/>
        <v>46342</v>
      </c>
      <c r="G23" s="29">
        <v>7</v>
      </c>
      <c r="H23" s="318"/>
      <c r="I23" s="357" t="s">
        <v>63</v>
      </c>
      <c r="J23" s="10">
        <f t="shared" si="2"/>
        <v>46372</v>
      </c>
      <c r="K23" s="74">
        <v>11</v>
      </c>
      <c r="L23" s="245" t="s">
        <v>159</v>
      </c>
      <c r="M23" s="277"/>
      <c r="N23" s="10">
        <f t="shared" si="3"/>
        <v>46403</v>
      </c>
      <c r="O23" s="29"/>
      <c r="P23" s="43" t="s">
        <v>160</v>
      </c>
      <c r="Q23" s="97"/>
      <c r="R23" s="10">
        <f t="shared" si="4"/>
        <v>46434</v>
      </c>
      <c r="S23" s="29"/>
      <c r="T23" s="259" t="s">
        <v>161</v>
      </c>
      <c r="U23" s="41"/>
      <c r="V23" s="11">
        <f t="shared" si="5"/>
        <v>46462</v>
      </c>
      <c r="W23" s="29" t="s">
        <v>12</v>
      </c>
      <c r="X23" s="102" t="s">
        <v>162</v>
      </c>
      <c r="Y23" s="102"/>
      <c r="Z23" s="113">
        <v>16</v>
      </c>
    </row>
    <row r="24" spans="1:26" ht="100.35" customHeight="1">
      <c r="A24" s="112">
        <v>17</v>
      </c>
      <c r="B24" s="10">
        <f t="shared" si="0"/>
        <v>46312</v>
      </c>
      <c r="C24" s="29"/>
      <c r="D24" s="258"/>
      <c r="E24" s="41"/>
      <c r="F24" s="10">
        <f t="shared" si="1"/>
        <v>46343</v>
      </c>
      <c r="G24" s="29">
        <v>7</v>
      </c>
      <c r="H24" s="43"/>
      <c r="I24" s="357" t="s">
        <v>63</v>
      </c>
      <c r="J24" s="10">
        <f t="shared" si="2"/>
        <v>46373</v>
      </c>
      <c r="K24" s="74">
        <v>11</v>
      </c>
      <c r="L24" s="134"/>
      <c r="M24" s="102" t="s">
        <v>26</v>
      </c>
      <c r="N24" s="10">
        <f t="shared" si="3"/>
        <v>46404</v>
      </c>
      <c r="O24" s="29"/>
      <c r="P24" s="41" t="s">
        <v>163</v>
      </c>
      <c r="Q24" s="43"/>
      <c r="R24" s="10">
        <f t="shared" si="4"/>
        <v>46435</v>
      </c>
      <c r="S24" s="29"/>
      <c r="T24" s="41" t="s">
        <v>79</v>
      </c>
      <c r="U24" s="41" t="s">
        <v>164</v>
      </c>
      <c r="V24" s="11">
        <f t="shared" si="5"/>
        <v>46463</v>
      </c>
      <c r="W24" s="29" t="s">
        <v>12</v>
      </c>
      <c r="X24" s="102"/>
      <c r="Y24" s="102"/>
      <c r="Z24" s="113">
        <v>17</v>
      </c>
    </row>
    <row r="25" spans="1:26" ht="100.35" customHeight="1">
      <c r="A25" s="112">
        <v>18</v>
      </c>
      <c r="B25" s="10">
        <f t="shared" si="0"/>
        <v>46313</v>
      </c>
      <c r="C25" s="29"/>
      <c r="D25" s="294"/>
      <c r="E25" s="41"/>
      <c r="F25" s="10">
        <f t="shared" si="1"/>
        <v>46344</v>
      </c>
      <c r="G25" s="29">
        <v>7</v>
      </c>
      <c r="H25" s="348" t="s">
        <v>79</v>
      </c>
      <c r="I25" s="357" t="s">
        <v>63</v>
      </c>
      <c r="J25" s="10">
        <f t="shared" si="2"/>
        <v>46374</v>
      </c>
      <c r="K25" s="74">
        <v>11</v>
      </c>
      <c r="L25" s="134"/>
      <c r="M25" s="136"/>
      <c r="N25" s="10">
        <f t="shared" si="3"/>
        <v>46405</v>
      </c>
      <c r="O25" s="29">
        <v>14</v>
      </c>
      <c r="P25" s="43"/>
      <c r="Q25" s="357" t="s">
        <v>63</v>
      </c>
      <c r="R25" s="10">
        <f t="shared" si="4"/>
        <v>46436</v>
      </c>
      <c r="S25" s="29"/>
      <c r="T25" s="102"/>
      <c r="U25" s="45" t="s">
        <v>26</v>
      </c>
      <c r="V25" s="11">
        <f t="shared" si="5"/>
        <v>46464</v>
      </c>
      <c r="W25" s="127" t="s">
        <v>12</v>
      </c>
      <c r="X25" s="102"/>
      <c r="Y25" s="102"/>
      <c r="Z25" s="113">
        <v>18</v>
      </c>
    </row>
    <row r="26" spans="1:26" ht="100.35" customHeight="1">
      <c r="A26" s="116">
        <v>19</v>
      </c>
      <c r="B26" s="10">
        <f t="shared" si="0"/>
        <v>46314</v>
      </c>
      <c r="C26" s="155">
        <v>4</v>
      </c>
      <c r="D26" s="294"/>
      <c r="E26" s="157"/>
      <c r="F26" s="10">
        <f t="shared" si="1"/>
        <v>46345</v>
      </c>
      <c r="G26" s="130"/>
      <c r="H26" s="259" t="s">
        <v>165</v>
      </c>
      <c r="I26" s="41" t="s">
        <v>26</v>
      </c>
      <c r="J26" s="10">
        <f t="shared" si="2"/>
        <v>46375</v>
      </c>
      <c r="K26" s="155"/>
      <c r="L26" s="134"/>
      <c r="M26" s="277"/>
      <c r="N26" s="10">
        <f t="shared" si="3"/>
        <v>46406</v>
      </c>
      <c r="O26" s="253"/>
      <c r="P26" s="276" t="s">
        <v>166</v>
      </c>
      <c r="Q26" s="42" t="s">
        <v>167</v>
      </c>
      <c r="R26" s="10">
        <f t="shared" si="4"/>
        <v>46437</v>
      </c>
      <c r="S26" s="127"/>
      <c r="T26" s="102"/>
      <c r="U26" s="358" t="s">
        <v>168</v>
      </c>
      <c r="V26" s="176">
        <f t="shared" si="5"/>
        <v>46465</v>
      </c>
      <c r="W26" s="177" t="s">
        <v>12</v>
      </c>
      <c r="X26" s="43" t="s">
        <v>169</v>
      </c>
      <c r="Y26" s="40"/>
      <c r="Z26" s="132">
        <v>19</v>
      </c>
    </row>
    <row r="27" spans="1:26" ht="100.35" customHeight="1">
      <c r="A27" s="129">
        <v>20</v>
      </c>
      <c r="B27" s="10">
        <f t="shared" si="0"/>
        <v>46315</v>
      </c>
      <c r="C27" s="130">
        <v>4</v>
      </c>
      <c r="D27" s="41" t="s">
        <v>170</v>
      </c>
      <c r="E27" s="97"/>
      <c r="F27" s="10">
        <f t="shared" si="1"/>
        <v>46346</v>
      </c>
      <c r="G27" s="223">
        <v>8</v>
      </c>
      <c r="H27" s="259" t="s">
        <v>171</v>
      </c>
      <c r="I27" s="364" t="s">
        <v>172</v>
      </c>
      <c r="J27" s="10">
        <f t="shared" si="2"/>
        <v>46376</v>
      </c>
      <c r="K27" s="130"/>
      <c r="L27" s="135"/>
      <c r="M27" s="102"/>
      <c r="N27" s="10">
        <f t="shared" si="3"/>
        <v>46407</v>
      </c>
      <c r="O27" s="130"/>
      <c r="P27" s="276" t="s">
        <v>173</v>
      </c>
      <c r="Q27" s="279"/>
      <c r="R27" s="10">
        <f t="shared" si="4"/>
        <v>46438</v>
      </c>
      <c r="S27" s="130"/>
      <c r="T27" s="46" t="s">
        <v>150</v>
      </c>
      <c r="U27" s="174"/>
      <c r="V27" s="11">
        <f t="shared" si="5"/>
        <v>46466</v>
      </c>
      <c r="W27" s="133" t="s">
        <v>12</v>
      </c>
      <c r="X27" s="40"/>
      <c r="Y27" s="40"/>
      <c r="Z27" s="171">
        <v>20</v>
      </c>
    </row>
    <row r="28" spans="1:26" ht="100.35" customHeight="1">
      <c r="A28" s="114">
        <v>21</v>
      </c>
      <c r="B28" s="10">
        <f t="shared" si="0"/>
        <v>46316</v>
      </c>
      <c r="C28" s="128">
        <v>4</v>
      </c>
      <c r="D28" s="231" t="s">
        <v>174</v>
      </c>
      <c r="E28" s="276"/>
      <c r="F28" s="10">
        <f t="shared" si="1"/>
        <v>46347</v>
      </c>
      <c r="G28" s="128"/>
      <c r="H28" s="231"/>
      <c r="I28" s="41"/>
      <c r="J28" s="10">
        <f t="shared" si="2"/>
        <v>46377</v>
      </c>
      <c r="K28" s="128">
        <v>12</v>
      </c>
      <c r="L28" s="47" t="s">
        <v>175</v>
      </c>
      <c r="M28" s="47"/>
      <c r="N28" s="10">
        <f t="shared" si="3"/>
        <v>46408</v>
      </c>
      <c r="O28" s="128"/>
      <c r="P28" s="276" t="s">
        <v>88</v>
      </c>
      <c r="Q28" s="41" t="s">
        <v>176</v>
      </c>
      <c r="R28" s="10">
        <f t="shared" si="4"/>
        <v>46439</v>
      </c>
      <c r="S28" s="128"/>
      <c r="T28" s="231" t="s">
        <v>177</v>
      </c>
      <c r="U28" s="174"/>
      <c r="V28" s="11">
        <f t="shared" si="5"/>
        <v>46467</v>
      </c>
      <c r="W28" s="29" t="s">
        <v>12</v>
      </c>
      <c r="X28" s="40" t="s">
        <v>178</v>
      </c>
      <c r="Y28" s="55"/>
      <c r="Z28" s="147">
        <v>21</v>
      </c>
    </row>
    <row r="29" spans="1:26" ht="100.35" customHeight="1">
      <c r="A29" s="112">
        <v>22</v>
      </c>
      <c r="B29" s="10">
        <f t="shared" si="0"/>
        <v>46317</v>
      </c>
      <c r="C29" s="29">
        <v>5</v>
      </c>
      <c r="D29" s="225" t="s">
        <v>179</v>
      </c>
      <c r="E29" s="41" t="s">
        <v>26</v>
      </c>
      <c r="F29" s="10">
        <f t="shared" si="1"/>
        <v>46348</v>
      </c>
      <c r="G29" s="38"/>
      <c r="H29" s="46" t="s">
        <v>180</v>
      </c>
      <c r="I29" s="41"/>
      <c r="J29" s="10">
        <f t="shared" si="2"/>
        <v>46378</v>
      </c>
      <c r="K29" s="29">
        <v>12</v>
      </c>
      <c r="L29" s="60"/>
      <c r="M29" s="275"/>
      <c r="N29" s="10">
        <f t="shared" si="3"/>
        <v>46409</v>
      </c>
      <c r="O29" s="29">
        <v>14</v>
      </c>
      <c r="P29" s="276"/>
      <c r="Q29" s="357" t="s">
        <v>63</v>
      </c>
      <c r="R29" s="10">
        <f t="shared" si="4"/>
        <v>46440</v>
      </c>
      <c r="S29" s="29"/>
      <c r="T29" s="272"/>
      <c r="U29" s="41"/>
      <c r="V29" s="11">
        <f t="shared" si="5"/>
        <v>46468</v>
      </c>
      <c r="W29" s="133" t="s">
        <v>12</v>
      </c>
      <c r="X29" s="40" t="s">
        <v>181</v>
      </c>
      <c r="Y29" s="55"/>
      <c r="Z29" s="113">
        <v>22</v>
      </c>
    </row>
    <row r="30" spans="1:26" ht="100.35" customHeight="1">
      <c r="A30" s="112">
        <v>23</v>
      </c>
      <c r="B30" s="10">
        <f t="shared" si="0"/>
        <v>46318</v>
      </c>
      <c r="C30" s="29">
        <v>5</v>
      </c>
      <c r="D30" s="41"/>
      <c r="E30" s="41"/>
      <c r="F30" s="10">
        <f t="shared" si="1"/>
        <v>46349</v>
      </c>
      <c r="G30" s="38"/>
      <c r="H30" s="46" t="s">
        <v>182</v>
      </c>
      <c r="I30" s="46"/>
      <c r="J30" s="10">
        <f t="shared" si="2"/>
        <v>46379</v>
      </c>
      <c r="K30" s="29">
        <v>12</v>
      </c>
      <c r="L30" s="97" t="s">
        <v>183</v>
      </c>
      <c r="M30" s="278"/>
      <c r="N30" s="10">
        <f t="shared" si="3"/>
        <v>46410</v>
      </c>
      <c r="O30" s="29"/>
      <c r="P30" s="338"/>
      <c r="Q30" s="339"/>
      <c r="R30" s="11">
        <f t="shared" si="4"/>
        <v>46441</v>
      </c>
      <c r="S30" s="169"/>
      <c r="T30" s="337" t="s">
        <v>184</v>
      </c>
      <c r="U30" s="334"/>
      <c r="V30" s="11">
        <f t="shared" si="5"/>
        <v>46469</v>
      </c>
      <c r="W30" s="29" t="s">
        <v>12</v>
      </c>
      <c r="X30" s="41" t="s">
        <v>12</v>
      </c>
      <c r="Y30" s="41" t="s">
        <v>26</v>
      </c>
      <c r="Z30" s="113">
        <v>23</v>
      </c>
    </row>
    <row r="31" spans="1:26" ht="100.35" customHeight="1">
      <c r="A31" s="112">
        <v>24</v>
      </c>
      <c r="B31" s="10">
        <f t="shared" si="0"/>
        <v>46319</v>
      </c>
      <c r="C31" s="29"/>
      <c r="D31" s="327" t="s">
        <v>185</v>
      </c>
      <c r="E31" s="41"/>
      <c r="F31" s="10">
        <f t="shared" si="1"/>
        <v>46350</v>
      </c>
      <c r="G31" s="29">
        <v>8</v>
      </c>
      <c r="H31" s="259" t="s">
        <v>186</v>
      </c>
      <c r="I31" s="46"/>
      <c r="J31" s="10">
        <f t="shared" si="2"/>
        <v>46380</v>
      </c>
      <c r="K31" s="29">
        <v>12</v>
      </c>
      <c r="L31" s="100"/>
      <c r="M31" s="100"/>
      <c r="N31" s="10">
        <f t="shared" si="3"/>
        <v>46411</v>
      </c>
      <c r="O31" s="158"/>
      <c r="P31" s="60"/>
      <c r="Q31" s="340"/>
      <c r="R31" s="11">
        <f t="shared" si="4"/>
        <v>46442</v>
      </c>
      <c r="S31" s="74"/>
      <c r="T31" s="346" t="s">
        <v>187</v>
      </c>
      <c r="U31" s="335"/>
      <c r="V31" s="218">
        <f t="shared" si="5"/>
        <v>46470</v>
      </c>
      <c r="W31" s="29" t="s">
        <v>12</v>
      </c>
      <c r="X31" s="41"/>
      <c r="Y31" s="57"/>
      <c r="Z31" s="113">
        <v>24</v>
      </c>
    </row>
    <row r="32" spans="1:26" ht="100.35" customHeight="1">
      <c r="A32" s="112">
        <v>25</v>
      </c>
      <c r="B32" s="10">
        <f t="shared" si="0"/>
        <v>46320</v>
      </c>
      <c r="C32" s="29"/>
      <c r="D32" s="41"/>
      <c r="E32" s="41"/>
      <c r="F32" s="10">
        <f t="shared" si="1"/>
        <v>46351</v>
      </c>
      <c r="G32" s="29">
        <v>8</v>
      </c>
      <c r="H32" s="259" t="s">
        <v>188</v>
      </c>
      <c r="I32" s="276"/>
      <c r="J32" s="10">
        <f t="shared" si="2"/>
        <v>46381</v>
      </c>
      <c r="K32" s="29">
        <v>12</v>
      </c>
      <c r="L32" s="60" t="s">
        <v>189</v>
      </c>
      <c r="M32" s="100"/>
      <c r="N32" s="10">
        <f t="shared" si="3"/>
        <v>46412</v>
      </c>
      <c r="O32" s="29"/>
      <c r="P32" s="276" t="s">
        <v>190</v>
      </c>
      <c r="Q32" s="43"/>
      <c r="R32" s="10">
        <f t="shared" si="4"/>
        <v>46443</v>
      </c>
      <c r="S32" s="74"/>
      <c r="T32" s="319" t="s">
        <v>191</v>
      </c>
      <c r="U32" s="335"/>
      <c r="V32" s="11">
        <f t="shared" si="5"/>
        <v>46471</v>
      </c>
      <c r="W32" s="29" t="s">
        <v>12</v>
      </c>
      <c r="X32" s="41"/>
      <c r="Y32" s="54" t="s">
        <v>192</v>
      </c>
      <c r="Z32" s="113">
        <v>25</v>
      </c>
    </row>
    <row r="33" spans="1:26" ht="100.35" customHeight="1">
      <c r="A33" s="112">
        <v>26</v>
      </c>
      <c r="B33" s="10">
        <f t="shared" si="0"/>
        <v>46321</v>
      </c>
      <c r="C33" s="29">
        <v>5</v>
      </c>
      <c r="D33" s="43"/>
      <c r="E33" s="41"/>
      <c r="F33" s="10">
        <f t="shared" si="1"/>
        <v>46352</v>
      </c>
      <c r="G33" s="219">
        <v>8</v>
      </c>
      <c r="H33" s="259" t="s">
        <v>193</v>
      </c>
      <c r="I33" s="275"/>
      <c r="J33" s="10">
        <f t="shared" si="2"/>
        <v>46382</v>
      </c>
      <c r="K33" s="29"/>
      <c r="L33" s="100" t="s">
        <v>194</v>
      </c>
      <c r="M33" s="43"/>
      <c r="N33" s="10">
        <f t="shared" si="3"/>
        <v>46413</v>
      </c>
      <c r="O33" s="29"/>
      <c r="P33" s="276" t="s">
        <v>195</v>
      </c>
      <c r="Q33" s="275"/>
      <c r="R33" s="10">
        <f t="shared" si="4"/>
        <v>46444</v>
      </c>
      <c r="S33" s="332"/>
      <c r="T33" s="319"/>
      <c r="U33" s="335"/>
      <c r="V33" s="11">
        <f t="shared" si="5"/>
        <v>46472</v>
      </c>
      <c r="W33" s="29" t="s">
        <v>12</v>
      </c>
      <c r="X33" s="41"/>
      <c r="Y33" s="55"/>
      <c r="Z33" s="113">
        <v>26</v>
      </c>
    </row>
    <row r="34" spans="1:26" ht="100.35" customHeight="1">
      <c r="A34" s="112">
        <v>27</v>
      </c>
      <c r="B34" s="10">
        <f t="shared" si="0"/>
        <v>46322</v>
      </c>
      <c r="C34" s="29">
        <v>5</v>
      </c>
      <c r="D34" s="41" t="s">
        <v>196</v>
      </c>
      <c r="E34" s="41"/>
      <c r="F34" s="10">
        <f t="shared" si="1"/>
        <v>46353</v>
      </c>
      <c r="G34" s="219">
        <v>8</v>
      </c>
      <c r="H34" s="28" t="s">
        <v>197</v>
      </c>
      <c r="I34" s="275"/>
      <c r="J34" s="10">
        <f t="shared" si="2"/>
        <v>46383</v>
      </c>
      <c r="K34" s="29"/>
      <c r="L34" s="41" t="s">
        <v>198</v>
      </c>
      <c r="M34" s="41"/>
      <c r="N34" s="10">
        <f t="shared" si="3"/>
        <v>46414</v>
      </c>
      <c r="O34" s="29"/>
      <c r="P34" s="276" t="s">
        <v>199</v>
      </c>
      <c r="Q34" s="279"/>
      <c r="R34" s="10">
        <f t="shared" si="4"/>
        <v>46445</v>
      </c>
      <c r="S34" s="219"/>
      <c r="T34" s="303"/>
      <c r="U34" s="174"/>
      <c r="V34" s="11">
        <f t="shared" si="5"/>
        <v>46473</v>
      </c>
      <c r="W34" s="29" t="s">
        <v>12</v>
      </c>
      <c r="X34" s="41"/>
      <c r="Y34" s="54"/>
      <c r="Z34" s="113">
        <v>27</v>
      </c>
    </row>
    <row r="35" spans="1:26" ht="100.35" customHeight="1">
      <c r="A35" s="112">
        <v>28</v>
      </c>
      <c r="B35" s="10">
        <f t="shared" si="0"/>
        <v>46323</v>
      </c>
      <c r="C35" s="29">
        <v>5</v>
      </c>
      <c r="D35" s="41" t="s">
        <v>95</v>
      </c>
      <c r="E35" s="276"/>
      <c r="F35" s="10">
        <f t="shared" si="1"/>
        <v>46354</v>
      </c>
      <c r="G35" s="29"/>
      <c r="H35" s="327" t="s">
        <v>200</v>
      </c>
      <c r="I35" s="275"/>
      <c r="J35" s="10">
        <f t="shared" si="2"/>
        <v>46384</v>
      </c>
      <c r="K35" s="29"/>
      <c r="L35" s="41" t="s">
        <v>198</v>
      </c>
      <c r="M35" s="41"/>
      <c r="N35" s="10">
        <f t="shared" si="3"/>
        <v>46415</v>
      </c>
      <c r="O35" s="29"/>
      <c r="P35" s="276" t="s">
        <v>201</v>
      </c>
      <c r="Q35" s="42"/>
      <c r="R35" s="10">
        <f t="shared" si="4"/>
        <v>46446</v>
      </c>
      <c r="S35" s="72"/>
      <c r="T35" s="275"/>
      <c r="U35" s="41"/>
      <c r="V35" s="11">
        <f t="shared" si="5"/>
        <v>46474</v>
      </c>
      <c r="W35" s="29" t="s">
        <v>12</v>
      </c>
      <c r="X35" s="41"/>
      <c r="Y35" s="54"/>
      <c r="Z35" s="113">
        <v>28</v>
      </c>
    </row>
    <row r="36" spans="1:26" ht="100.35" customHeight="1">
      <c r="A36" s="112">
        <v>29</v>
      </c>
      <c r="B36" s="10">
        <f t="shared" si="0"/>
        <v>46324</v>
      </c>
      <c r="C36" s="219">
        <v>6</v>
      </c>
      <c r="D36" s="273"/>
      <c r="E36" s="41"/>
      <c r="F36" s="10">
        <f t="shared" si="1"/>
        <v>46355</v>
      </c>
      <c r="G36" s="29"/>
      <c r="H36" s="41"/>
      <c r="I36" s="41"/>
      <c r="J36" s="10">
        <f t="shared" si="2"/>
        <v>46385</v>
      </c>
      <c r="K36" s="29"/>
      <c r="L36" s="46" t="s">
        <v>110</v>
      </c>
      <c r="M36" s="46"/>
      <c r="N36" s="10">
        <f t="shared" si="3"/>
        <v>46416</v>
      </c>
      <c r="O36" s="29"/>
      <c r="P36" s="276" t="s">
        <v>202</v>
      </c>
      <c r="Q36" s="42"/>
      <c r="R36" s="85"/>
      <c r="S36" s="86" t="s">
        <v>12</v>
      </c>
      <c r="T36" s="198"/>
      <c r="U36" s="41"/>
      <c r="V36" s="11">
        <f t="shared" si="5"/>
        <v>46475</v>
      </c>
      <c r="W36" s="29" t="s">
        <v>12</v>
      </c>
      <c r="X36" s="41" t="s">
        <v>12</v>
      </c>
      <c r="Y36" s="54"/>
      <c r="Z36" s="113">
        <v>29</v>
      </c>
    </row>
    <row r="37" spans="1:26" ht="100.35" customHeight="1">
      <c r="A37" s="112">
        <v>30</v>
      </c>
      <c r="B37" s="10">
        <f t="shared" si="0"/>
        <v>46325</v>
      </c>
      <c r="C37" s="29">
        <v>6</v>
      </c>
      <c r="D37" s="41"/>
      <c r="E37" s="41"/>
      <c r="F37" s="10">
        <f t="shared" si="1"/>
        <v>46356</v>
      </c>
      <c r="G37" s="29">
        <v>9</v>
      </c>
      <c r="H37" s="41"/>
      <c r="I37" s="41"/>
      <c r="J37" s="10">
        <f t="shared" si="2"/>
        <v>46386</v>
      </c>
      <c r="K37" s="29"/>
      <c r="L37" s="46" t="s">
        <v>110</v>
      </c>
      <c r="M37" s="46"/>
      <c r="N37" s="10">
        <f t="shared" si="3"/>
        <v>46417</v>
      </c>
      <c r="O37" s="29"/>
      <c r="P37" s="41" t="s">
        <v>12</v>
      </c>
      <c r="Q37" s="280"/>
      <c r="R37" s="85"/>
      <c r="S37" s="86" t="s">
        <v>12</v>
      </c>
      <c r="T37" s="41"/>
      <c r="U37" s="41"/>
      <c r="V37" s="11">
        <f t="shared" si="5"/>
        <v>46476</v>
      </c>
      <c r="W37" s="29" t="s">
        <v>12</v>
      </c>
      <c r="X37" s="41" t="s">
        <v>12</v>
      </c>
      <c r="Y37" s="54"/>
      <c r="Z37" s="113">
        <v>30</v>
      </c>
    </row>
    <row r="38" spans="1:26" ht="100.35" customHeight="1">
      <c r="A38" s="118">
        <v>31</v>
      </c>
      <c r="B38" s="10">
        <f t="shared" si="0"/>
        <v>46326</v>
      </c>
      <c r="C38" s="119"/>
      <c r="D38" s="51" t="s">
        <v>12</v>
      </c>
      <c r="E38" s="51"/>
      <c r="F38" s="120"/>
      <c r="G38" s="121" t="s">
        <v>12</v>
      </c>
      <c r="H38" s="51" t="s">
        <v>12</v>
      </c>
      <c r="I38" s="51"/>
      <c r="J38" s="10">
        <f t="shared" si="2"/>
        <v>46387</v>
      </c>
      <c r="K38" s="119"/>
      <c r="L38" s="229" t="s">
        <v>203</v>
      </c>
      <c r="M38" s="229"/>
      <c r="N38" s="10">
        <f t="shared" si="3"/>
        <v>46418</v>
      </c>
      <c r="O38" s="119"/>
      <c r="P38" s="256"/>
      <c r="Q38" s="51"/>
      <c r="R38" s="120"/>
      <c r="S38" s="121" t="s">
        <v>12</v>
      </c>
      <c r="T38" s="131"/>
      <c r="U38" s="51"/>
      <c r="V38" s="11">
        <f t="shared" si="5"/>
        <v>46477</v>
      </c>
      <c r="W38" s="119" t="s">
        <v>12</v>
      </c>
      <c r="X38" s="51" t="s">
        <v>12</v>
      </c>
      <c r="Y38" s="122"/>
      <c r="Z38" s="123">
        <v>31</v>
      </c>
    </row>
    <row r="39" spans="1:26" ht="20.25" customHeight="1">
      <c r="P39" s="49"/>
      <c r="Q39" s="49"/>
      <c r="X39" s="301"/>
      <c r="Y39" s="301"/>
    </row>
  </sheetData>
  <mergeCells count="10">
    <mergeCell ref="V6:X6"/>
    <mergeCell ref="H1:J1"/>
    <mergeCell ref="K1:T1"/>
    <mergeCell ref="U1:Y1"/>
    <mergeCell ref="D4:E4"/>
    <mergeCell ref="B6:D6"/>
    <mergeCell ref="F6:H6"/>
    <mergeCell ref="J6:L6"/>
    <mergeCell ref="N6:P6"/>
    <mergeCell ref="R6:T6"/>
  </mergeCells>
  <phoneticPr fontId="19"/>
  <conditionalFormatting sqref="C8:C18 C20:C38">
    <cfRule type="expression" dxfId="108" priority="25">
      <formula>C8&lt;&gt;#REF!</formula>
    </cfRule>
    <cfRule type="expression" dxfId="107" priority="26">
      <formula>WEEKDAY(B8)=1</formula>
    </cfRule>
    <cfRule type="expression" dxfId="106" priority="27">
      <formula>WEEKDAY(B8)=7</formula>
    </cfRule>
    <cfRule type="expression" dxfId="105" priority="28">
      <formula>WEEKDAY(B8)&lt;&gt;7</formula>
    </cfRule>
  </conditionalFormatting>
  <conditionalFormatting sqref="G8:G9 G11:G28 G31:G37">
    <cfRule type="expression" dxfId="104" priority="17">
      <formula>G8&lt;&gt;#REF!</formula>
    </cfRule>
    <cfRule type="expression" dxfId="103" priority="18">
      <formula>WEEKDAY(F8)=1</formula>
    </cfRule>
    <cfRule type="expression" dxfId="102" priority="19">
      <formula>WEEKDAY(F8)=7</formula>
    </cfRule>
    <cfRule type="expression" dxfId="101" priority="20">
      <formula>WEEKDAY(F8)&lt;&gt;7</formula>
    </cfRule>
  </conditionalFormatting>
  <conditionalFormatting sqref="K8:K38">
    <cfRule type="expression" dxfId="100" priority="13">
      <formula>K8&lt;&gt;#REF!</formula>
    </cfRule>
    <cfRule type="expression" dxfId="99" priority="14">
      <formula>WEEKDAY(J8)=1</formula>
    </cfRule>
    <cfRule type="expression" dxfId="98" priority="15">
      <formula>WEEKDAY(J8)=7</formula>
    </cfRule>
    <cfRule type="expression" dxfId="97" priority="16">
      <formula>WEEKDAY(J8)&lt;&gt;7</formula>
    </cfRule>
  </conditionalFormatting>
  <conditionalFormatting sqref="O9:O17 O19:O38">
    <cfRule type="expression" dxfId="96" priority="21">
      <formula>O9&lt;&gt;#REF!</formula>
    </cfRule>
    <cfRule type="expression" dxfId="95" priority="22">
      <formula>WEEKDAY(N9)=1</formula>
    </cfRule>
    <cfRule type="expression" dxfId="94" priority="23">
      <formula>WEEKDAY(N9)=7</formula>
    </cfRule>
    <cfRule type="expression" dxfId="93" priority="24">
      <formula>WEEKDAY(N9)&lt;&gt;7</formula>
    </cfRule>
  </conditionalFormatting>
  <conditionalFormatting sqref="S8:S17 S19:S29">
    <cfRule type="expression" dxfId="92" priority="9">
      <formula>S8&lt;&gt;#REF!</formula>
    </cfRule>
    <cfRule type="expression" dxfId="91" priority="10">
      <formula>WEEKDAY(R8)=1</formula>
    </cfRule>
    <cfRule type="expression" dxfId="90" priority="11">
      <formula>WEEKDAY(R8)=7</formula>
    </cfRule>
    <cfRule type="expression" dxfId="89" priority="12">
      <formula>WEEKDAY(R8)&lt;&gt;7</formula>
    </cfRule>
  </conditionalFormatting>
  <conditionalFormatting sqref="S24">
    <cfRule type="expression" dxfId="88" priority="29">
      <formula>WEEKDAY(Q24)=1</formula>
    </cfRule>
    <cfRule type="expression" dxfId="87" priority="30">
      <formula>WEEKDAY(Q24)=7</formula>
    </cfRule>
    <cfRule type="expression" dxfId="86" priority="31">
      <formula>WEEKDAY(Q24)&lt;&gt;7</formula>
    </cfRule>
  </conditionalFormatting>
  <conditionalFormatting sqref="S31:S35">
    <cfRule type="expression" dxfId="85" priority="1">
      <formula>S31&lt;&gt;#REF!</formula>
    </cfRule>
    <cfRule type="expression" dxfId="84" priority="2">
      <formula>WEEKDAY(R31)=1</formula>
    </cfRule>
    <cfRule type="expression" dxfId="83" priority="3">
      <formula>WEEKDAY(R31)=7</formula>
    </cfRule>
    <cfRule type="expression" dxfId="82" priority="4">
      <formula>WEEKDAY(R31)&lt;&gt;7</formula>
    </cfRule>
  </conditionalFormatting>
  <conditionalFormatting sqref="W8:W26 W28 W30:W38">
    <cfRule type="expression" dxfId="81" priority="5">
      <formula>W8&lt;&gt;#REF!</formula>
    </cfRule>
    <cfRule type="expression" dxfId="80" priority="6">
      <formula>WEEKDAY(V8)=1</formula>
    </cfRule>
    <cfRule type="expression" dxfId="79" priority="7">
      <formula>WEEKDAY(V8)=7</formula>
    </cfRule>
    <cfRule type="expression" dxfId="78" priority="8">
      <formula>WEEKDAY(V8)&lt;&gt;7</formula>
    </cfRule>
  </conditionalFormatting>
  <printOptions horizontalCentered="1" verticalCentered="1"/>
  <pageMargins left="0.23622047244094491" right="0.23622047244094491" top="0.35433070866141736" bottom="0.15748031496062992" header="0.31496062992125984" footer="0.11811023622047245"/>
  <pageSetup paperSize="8" scale="23" orientation="landscape" r:id="rId1"/>
  <headerFooter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EFEA-C842-4891-BA21-01D1CC86B069}">
  <sheetPr>
    <tabColor rgb="FFFFC000"/>
    <pageSetUpPr fitToPage="1"/>
  </sheetPr>
  <dimension ref="A1:P17"/>
  <sheetViews>
    <sheetView showGridLines="0" workbookViewId="0">
      <selection activeCell="T32" sqref="T32"/>
    </sheetView>
  </sheetViews>
  <sheetFormatPr defaultColWidth="8.625" defaultRowHeight="18" customHeight="1"/>
  <cols>
    <col min="1" max="1" width="8.625" style="349"/>
    <col min="2" max="2" width="9.125" style="349" bestFit="1" customWidth="1"/>
    <col min="3" max="16384" width="8.625" style="349"/>
  </cols>
  <sheetData>
    <row r="1" spans="1:16" ht="18" customHeight="1">
      <c r="A1" s="361" t="s">
        <v>204</v>
      </c>
    </row>
    <row r="2" spans="1:16" ht="18" customHeight="1">
      <c r="A2" s="361"/>
    </row>
    <row r="3" spans="1:16" ht="18" customHeight="1">
      <c r="A3" s="349" t="s">
        <v>205</v>
      </c>
      <c r="I3" s="349" t="s">
        <v>206</v>
      </c>
    </row>
    <row r="4" spans="1:16" ht="18" customHeight="1">
      <c r="A4" s="351"/>
      <c r="B4" s="351" t="s">
        <v>207</v>
      </c>
      <c r="C4" s="351" t="s">
        <v>208</v>
      </c>
      <c r="D4" s="351" t="s">
        <v>209</v>
      </c>
      <c r="E4" s="351" t="s">
        <v>210</v>
      </c>
      <c r="F4" s="351" t="s">
        <v>211</v>
      </c>
      <c r="G4" s="351" t="s">
        <v>212</v>
      </c>
      <c r="H4" s="351" t="s">
        <v>213</v>
      </c>
      <c r="I4" s="353" t="s">
        <v>214</v>
      </c>
      <c r="J4" s="351" t="s">
        <v>215</v>
      </c>
      <c r="K4" s="351" t="s">
        <v>216</v>
      </c>
      <c r="L4" s="351" t="s">
        <v>217</v>
      </c>
      <c r="M4" s="351" t="s">
        <v>218</v>
      </c>
      <c r="N4" s="351" t="s">
        <v>219</v>
      </c>
      <c r="O4" s="351" t="s">
        <v>220</v>
      </c>
      <c r="P4" s="351" t="s">
        <v>221</v>
      </c>
    </row>
    <row r="5" spans="1:16" ht="18" customHeight="1">
      <c r="A5" s="351" t="s">
        <v>222</v>
      </c>
      <c r="B5" s="352">
        <v>45760</v>
      </c>
      <c r="C5" s="352">
        <v>45767</v>
      </c>
      <c r="D5" s="352">
        <v>45774</v>
      </c>
      <c r="E5" s="352">
        <v>45788</v>
      </c>
      <c r="F5" s="352">
        <v>45795</v>
      </c>
      <c r="G5" s="352">
        <v>45802</v>
      </c>
      <c r="H5" s="352">
        <v>45809</v>
      </c>
      <c r="I5" s="354">
        <v>45813</v>
      </c>
      <c r="J5" s="352">
        <v>45823</v>
      </c>
      <c r="K5" s="352">
        <v>45830</v>
      </c>
      <c r="L5" s="352">
        <v>45837</v>
      </c>
      <c r="M5" s="352">
        <v>45844</v>
      </c>
      <c r="N5" s="352">
        <v>45851</v>
      </c>
      <c r="O5" s="352">
        <v>45865</v>
      </c>
      <c r="P5" s="352">
        <v>45914</v>
      </c>
    </row>
    <row r="6" spans="1:16" ht="18" customHeight="1">
      <c r="A6" s="351" t="s">
        <v>223</v>
      </c>
      <c r="B6" s="352">
        <v>45761</v>
      </c>
      <c r="C6" s="352">
        <v>45768</v>
      </c>
      <c r="D6" s="352">
        <v>45775</v>
      </c>
      <c r="E6" s="352">
        <v>45789</v>
      </c>
      <c r="F6" s="352">
        <v>45796</v>
      </c>
      <c r="G6" s="352">
        <v>45803</v>
      </c>
      <c r="H6" s="352">
        <v>45810</v>
      </c>
      <c r="I6" s="354">
        <v>45816</v>
      </c>
      <c r="J6" s="352">
        <v>45824</v>
      </c>
      <c r="K6" s="352">
        <v>45831</v>
      </c>
      <c r="L6" s="352">
        <v>45838</v>
      </c>
      <c r="M6" s="352">
        <v>45845</v>
      </c>
      <c r="N6" s="352">
        <v>45852</v>
      </c>
      <c r="O6" s="352">
        <v>45859</v>
      </c>
      <c r="P6" s="352">
        <v>45915</v>
      </c>
    </row>
    <row r="7" spans="1:16" ht="18" customHeight="1">
      <c r="A7" s="351" t="s">
        <v>224</v>
      </c>
      <c r="B7" s="352">
        <v>45762</v>
      </c>
      <c r="C7" s="352">
        <v>45769</v>
      </c>
      <c r="D7" s="356">
        <v>45776</v>
      </c>
      <c r="E7" s="352">
        <v>45790</v>
      </c>
      <c r="F7" s="352">
        <v>45797</v>
      </c>
      <c r="G7" s="352">
        <v>45804</v>
      </c>
      <c r="H7" s="352">
        <v>45811</v>
      </c>
      <c r="I7" s="354">
        <v>45817</v>
      </c>
      <c r="J7" s="352">
        <v>45825</v>
      </c>
      <c r="K7" s="352">
        <v>45832</v>
      </c>
      <c r="L7" s="352">
        <v>45839</v>
      </c>
      <c r="M7" s="352">
        <v>45846</v>
      </c>
      <c r="N7" s="352">
        <v>45853</v>
      </c>
      <c r="O7" s="352">
        <v>45860</v>
      </c>
      <c r="P7" s="352">
        <v>45916</v>
      </c>
    </row>
    <row r="8" spans="1:16" ht="18" customHeight="1">
      <c r="A8" s="351" t="s">
        <v>225</v>
      </c>
      <c r="B8" s="352">
        <v>45756</v>
      </c>
      <c r="C8" s="352">
        <v>45763</v>
      </c>
      <c r="D8" s="352">
        <v>45770</v>
      </c>
      <c r="E8" s="352">
        <v>45777</v>
      </c>
      <c r="F8" s="352">
        <v>45784</v>
      </c>
      <c r="G8" s="352">
        <v>45791</v>
      </c>
      <c r="H8" s="352">
        <v>45805</v>
      </c>
      <c r="I8" s="354">
        <v>45818</v>
      </c>
      <c r="J8" s="352">
        <v>45826</v>
      </c>
      <c r="K8" s="352">
        <v>45833</v>
      </c>
      <c r="L8" s="352">
        <v>45840</v>
      </c>
      <c r="M8" s="352">
        <v>45847</v>
      </c>
      <c r="N8" s="352">
        <v>45854</v>
      </c>
      <c r="O8" s="352">
        <v>45861</v>
      </c>
      <c r="P8" s="352">
        <v>45917</v>
      </c>
    </row>
    <row r="9" spans="1:16" ht="18" customHeight="1">
      <c r="A9" s="351" t="s">
        <v>226</v>
      </c>
      <c r="B9" s="352">
        <v>45757</v>
      </c>
      <c r="C9" s="352">
        <v>45764</v>
      </c>
      <c r="D9" s="352">
        <v>45771</v>
      </c>
      <c r="E9" s="352">
        <v>45778</v>
      </c>
      <c r="F9" s="352">
        <v>45785</v>
      </c>
      <c r="G9" s="352">
        <v>45792</v>
      </c>
      <c r="H9" s="352">
        <v>45799</v>
      </c>
      <c r="I9" s="354">
        <v>45819</v>
      </c>
      <c r="J9" s="352">
        <v>45820</v>
      </c>
      <c r="K9" s="352">
        <v>45827</v>
      </c>
      <c r="L9" s="352">
        <v>45834</v>
      </c>
      <c r="M9" s="352">
        <v>45841</v>
      </c>
      <c r="N9" s="352">
        <v>45848</v>
      </c>
      <c r="O9" s="352">
        <v>45855</v>
      </c>
      <c r="P9" s="352">
        <v>45918</v>
      </c>
    </row>
    <row r="10" spans="1:16" ht="18" customHeight="1">
      <c r="B10" s="350"/>
      <c r="C10" s="350"/>
      <c r="D10" s="350"/>
      <c r="E10" s="350"/>
      <c r="F10" s="350"/>
      <c r="G10" s="350"/>
      <c r="H10" s="350"/>
      <c r="I10" s="350"/>
      <c r="J10" s="350"/>
      <c r="K10" s="350"/>
      <c r="L10" s="350"/>
      <c r="M10" s="350"/>
      <c r="N10" s="350"/>
      <c r="O10" s="350"/>
      <c r="P10" s="350"/>
    </row>
    <row r="11" spans="1:16" ht="18" customHeight="1">
      <c r="A11" s="349" t="s">
        <v>227</v>
      </c>
      <c r="I11" s="349" t="s">
        <v>206</v>
      </c>
    </row>
    <row r="12" spans="1:16" ht="18" customHeight="1">
      <c r="A12" s="351"/>
      <c r="B12" s="351" t="s">
        <v>207</v>
      </c>
      <c r="C12" s="351" t="s">
        <v>208</v>
      </c>
      <c r="D12" s="351" t="s">
        <v>209</v>
      </c>
      <c r="E12" s="351" t="s">
        <v>210</v>
      </c>
      <c r="F12" s="351" t="s">
        <v>211</v>
      </c>
      <c r="G12" s="351" t="s">
        <v>212</v>
      </c>
      <c r="H12" s="351" t="s">
        <v>213</v>
      </c>
      <c r="I12" s="353" t="s">
        <v>214</v>
      </c>
      <c r="J12" s="351" t="s">
        <v>215</v>
      </c>
      <c r="K12" s="351" t="s">
        <v>216</v>
      </c>
      <c r="L12" s="351" t="s">
        <v>217</v>
      </c>
      <c r="M12" s="351" t="s">
        <v>218</v>
      </c>
      <c r="N12" s="351" t="s">
        <v>219</v>
      </c>
      <c r="O12" s="351" t="s">
        <v>220</v>
      </c>
      <c r="P12" s="351" t="s">
        <v>221</v>
      </c>
    </row>
    <row r="13" spans="1:16" ht="18" customHeight="1">
      <c r="A13" s="351" t="s">
        <v>222</v>
      </c>
      <c r="B13" s="352">
        <v>45928</v>
      </c>
      <c r="C13" s="352">
        <v>45935</v>
      </c>
      <c r="D13" s="356">
        <v>45942</v>
      </c>
      <c r="E13" s="352">
        <v>45949</v>
      </c>
      <c r="F13" s="352">
        <v>45956</v>
      </c>
      <c r="G13" s="352">
        <v>45963</v>
      </c>
      <c r="H13" s="352">
        <v>45977</v>
      </c>
      <c r="I13" s="354">
        <v>45981</v>
      </c>
      <c r="J13" s="352">
        <v>45991</v>
      </c>
      <c r="K13" s="352">
        <v>45998</v>
      </c>
      <c r="L13" s="352">
        <v>46005</v>
      </c>
      <c r="M13" s="352">
        <v>46012</v>
      </c>
      <c r="N13" s="352">
        <v>45661</v>
      </c>
      <c r="O13" s="352">
        <v>45675</v>
      </c>
      <c r="P13" s="352">
        <v>45696</v>
      </c>
    </row>
    <row r="14" spans="1:16" ht="18" customHeight="1">
      <c r="A14" s="351" t="s">
        <v>223</v>
      </c>
      <c r="B14" s="352">
        <v>45929</v>
      </c>
      <c r="C14" s="352">
        <v>45936</v>
      </c>
      <c r="D14" s="352">
        <v>45943</v>
      </c>
      <c r="E14" s="352">
        <v>45950</v>
      </c>
      <c r="F14" s="352">
        <v>45957</v>
      </c>
      <c r="G14" s="355" t="s">
        <v>228</v>
      </c>
      <c r="H14" s="352">
        <v>45978</v>
      </c>
      <c r="I14" s="354">
        <v>45985</v>
      </c>
      <c r="J14" s="352">
        <v>45992</v>
      </c>
      <c r="K14" s="352">
        <v>45999</v>
      </c>
      <c r="L14" s="352">
        <v>46006</v>
      </c>
      <c r="M14" s="352">
        <v>46013</v>
      </c>
      <c r="N14" s="352">
        <v>45662</v>
      </c>
      <c r="O14" s="352">
        <v>45669</v>
      </c>
      <c r="P14" s="352">
        <v>45697</v>
      </c>
    </row>
    <row r="15" spans="1:16" ht="18" customHeight="1">
      <c r="A15" s="351" t="s">
        <v>224</v>
      </c>
      <c r="B15" s="352">
        <v>45930</v>
      </c>
      <c r="C15" s="352">
        <v>45937</v>
      </c>
      <c r="D15" s="352">
        <v>45944</v>
      </c>
      <c r="E15" s="352">
        <v>45951</v>
      </c>
      <c r="F15" s="352">
        <v>45958</v>
      </c>
      <c r="G15" s="352">
        <v>45965</v>
      </c>
      <c r="H15" s="352">
        <v>45979</v>
      </c>
      <c r="I15" s="354">
        <v>45986</v>
      </c>
      <c r="J15" s="352">
        <v>45993</v>
      </c>
      <c r="K15" s="352">
        <v>46000</v>
      </c>
      <c r="L15" s="352">
        <v>46007</v>
      </c>
      <c r="M15" s="352">
        <v>46014</v>
      </c>
      <c r="N15" s="352">
        <v>45663</v>
      </c>
      <c r="O15" s="352">
        <v>45670</v>
      </c>
      <c r="P15" s="352">
        <v>45691</v>
      </c>
    </row>
    <row r="16" spans="1:16" ht="18" customHeight="1">
      <c r="A16" s="351" t="s">
        <v>225</v>
      </c>
      <c r="B16" s="352">
        <v>45924</v>
      </c>
      <c r="C16" s="352">
        <v>45931</v>
      </c>
      <c r="D16" s="352">
        <v>45938</v>
      </c>
      <c r="E16" s="352">
        <v>45945</v>
      </c>
      <c r="F16" s="352">
        <v>45952</v>
      </c>
      <c r="G16" s="352">
        <v>45959</v>
      </c>
      <c r="H16" s="352">
        <v>45973</v>
      </c>
      <c r="I16" s="354">
        <v>45987</v>
      </c>
      <c r="J16" s="352">
        <v>45994</v>
      </c>
      <c r="K16" s="352">
        <v>46001</v>
      </c>
      <c r="L16" s="352">
        <v>46008</v>
      </c>
      <c r="M16" s="352">
        <v>46015</v>
      </c>
      <c r="N16" s="352">
        <v>45664</v>
      </c>
      <c r="O16" s="352">
        <v>45671</v>
      </c>
      <c r="P16" s="352">
        <v>45692</v>
      </c>
    </row>
    <row r="17" spans="1:16" ht="18" customHeight="1">
      <c r="A17" s="351" t="s">
        <v>226</v>
      </c>
      <c r="B17" s="352">
        <v>45925</v>
      </c>
      <c r="C17" s="352">
        <v>45932</v>
      </c>
      <c r="D17" s="352">
        <v>45939</v>
      </c>
      <c r="E17" s="352">
        <v>45946</v>
      </c>
      <c r="F17" s="352">
        <v>45953</v>
      </c>
      <c r="G17" s="352">
        <v>45960</v>
      </c>
      <c r="H17" s="352">
        <v>45974</v>
      </c>
      <c r="I17" s="354">
        <v>45988</v>
      </c>
      <c r="J17" s="352">
        <v>45995</v>
      </c>
      <c r="K17" s="352">
        <v>46002</v>
      </c>
      <c r="L17" s="352">
        <v>46009</v>
      </c>
      <c r="M17" s="352">
        <v>46016</v>
      </c>
      <c r="N17" s="352">
        <v>45665</v>
      </c>
      <c r="O17" s="352">
        <v>46044</v>
      </c>
      <c r="P17" s="352">
        <v>45693</v>
      </c>
    </row>
  </sheetData>
  <phoneticPr fontId="19"/>
  <pageMargins left="0.7" right="0.7" top="0.75" bottom="0.75" header="0.3" footer="0.3"/>
  <pageSetup paperSize="9" scale="87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38"/>
  <sheetViews>
    <sheetView zoomScale="50" zoomScaleNormal="50" zoomScaleSheetLayoutView="40" workbookViewId="0">
      <pane xSplit="3" ySplit="7" topLeftCell="K40" activePane="bottomRight" state="frozen"/>
      <selection pane="bottomRight" activeCell="L35" sqref="L35"/>
      <selection pane="bottomLeft" activeCell="L35" sqref="L35"/>
      <selection pane="topRight" activeCell="L35" sqref="L35"/>
    </sheetView>
  </sheetViews>
  <sheetFormatPr defaultColWidth="8.875" defaultRowHeight="14.25"/>
  <cols>
    <col min="1" max="1" width="7.875" customWidth="1"/>
    <col min="2" max="3" width="7.625" customWidth="1"/>
    <col min="4" max="5" width="35.625" customWidth="1"/>
    <col min="6" max="7" width="7.625" customWidth="1"/>
    <col min="8" max="9" width="35.625" customWidth="1"/>
    <col min="10" max="11" width="7.625" customWidth="1"/>
    <col min="12" max="13" width="35.625" customWidth="1"/>
    <col min="14" max="15" width="7.625" customWidth="1"/>
    <col min="16" max="17" width="35.625" customWidth="1"/>
    <col min="18" max="19" width="7.625" customWidth="1"/>
    <col min="20" max="21" width="35.625" customWidth="1"/>
    <col min="22" max="23" width="7.625" customWidth="1"/>
    <col min="24" max="25" width="35.625" customWidth="1"/>
    <col min="26" max="26" width="7.625" customWidth="1"/>
    <col min="33" max="33" width="9" bestFit="1" customWidth="1"/>
  </cols>
  <sheetData>
    <row r="1" spans="1:26" ht="59.25">
      <c r="A1" s="1"/>
      <c r="B1" s="2"/>
      <c r="C1" s="2"/>
      <c r="D1" s="3" t="s">
        <v>0</v>
      </c>
      <c r="E1" s="188">
        <f ca="1">TODAY()</f>
        <v>46064</v>
      </c>
      <c r="F1" s="4"/>
      <c r="G1" s="4"/>
      <c r="H1" s="388">
        <v>2023</v>
      </c>
      <c r="I1" s="387"/>
      <c r="J1" s="387"/>
      <c r="K1" s="390" t="s">
        <v>229</v>
      </c>
      <c r="L1" s="387"/>
      <c r="M1" s="387"/>
      <c r="N1" s="387"/>
      <c r="O1" s="387"/>
      <c r="P1" s="387"/>
      <c r="Q1" s="387"/>
      <c r="R1" s="387"/>
      <c r="S1" s="387"/>
      <c r="T1" s="387"/>
      <c r="U1" s="385" t="s">
        <v>2</v>
      </c>
      <c r="V1" s="385"/>
      <c r="W1" s="385"/>
      <c r="X1" s="385"/>
      <c r="Y1" s="385"/>
      <c r="Z1" s="28"/>
    </row>
    <row r="2" spans="1:26" ht="30" customHeight="1">
      <c r="A2" s="5"/>
      <c r="B2" s="5"/>
      <c r="C2" s="5"/>
      <c r="D2" s="190" t="s">
        <v>230</v>
      </c>
      <c r="E2" s="6"/>
      <c r="F2" s="5"/>
      <c r="G2" s="5"/>
      <c r="H2" s="6"/>
      <c r="I2" s="4"/>
      <c r="J2" s="5"/>
      <c r="K2" s="5"/>
      <c r="L2" s="6"/>
      <c r="M2" s="6"/>
      <c r="N2" s="5"/>
      <c r="O2" s="5"/>
      <c r="P2" s="6"/>
      <c r="Q2" s="6"/>
      <c r="R2" s="5"/>
      <c r="S2" s="5"/>
      <c r="T2" s="6"/>
      <c r="U2" s="6"/>
      <c r="V2" s="5"/>
      <c r="W2" s="5"/>
      <c r="X2" s="7" t="s">
        <v>231</v>
      </c>
      <c r="Y2" s="186" t="s">
        <v>232</v>
      </c>
      <c r="Z2" s="8"/>
    </row>
    <row r="3" spans="1:26" ht="30" customHeight="1">
      <c r="A3" s="5"/>
      <c r="B3" s="5"/>
      <c r="C3" s="5"/>
      <c r="D3" s="6"/>
      <c r="E3" s="6"/>
      <c r="F3" s="5"/>
      <c r="G3" s="5"/>
      <c r="H3" s="6"/>
      <c r="I3" s="6"/>
      <c r="J3" s="5"/>
      <c r="K3" s="5"/>
      <c r="L3" s="6"/>
      <c r="M3" s="6"/>
      <c r="N3" s="5"/>
      <c r="O3" s="5"/>
      <c r="P3" s="6"/>
      <c r="Q3" s="6"/>
      <c r="R3" s="5"/>
      <c r="S3" s="5"/>
      <c r="T3" s="6"/>
      <c r="U3" s="6"/>
      <c r="V3" s="5"/>
      <c r="W3" s="5"/>
      <c r="X3" s="7" t="s">
        <v>233</v>
      </c>
      <c r="Y3" s="194" t="s">
        <v>234</v>
      </c>
      <c r="Z3" s="8"/>
    </row>
    <row r="4" spans="1:26" ht="30" customHeight="1">
      <c r="A4" s="5"/>
      <c r="B4" s="5"/>
      <c r="C4" s="5"/>
      <c r="D4" s="386"/>
      <c r="E4" s="387"/>
      <c r="F4" s="5"/>
      <c r="G4" s="5"/>
      <c r="H4" s="391"/>
      <c r="I4" s="387"/>
      <c r="J4" s="5"/>
      <c r="K4" s="5"/>
      <c r="L4" s="6"/>
      <c r="M4" s="6"/>
      <c r="N4" s="5"/>
      <c r="O4" s="5"/>
      <c r="P4" s="6"/>
      <c r="Q4" s="6"/>
      <c r="R4" s="5"/>
      <c r="S4" s="5"/>
      <c r="T4" s="6"/>
      <c r="U4" s="6"/>
      <c r="V4" s="5"/>
      <c r="W4" s="5"/>
      <c r="X4" s="185" t="s">
        <v>8</v>
      </c>
      <c r="Y4" s="194" t="s">
        <v>235</v>
      </c>
      <c r="Z4" s="8"/>
    </row>
    <row r="5" spans="1:26" ht="20.25">
      <c r="A5" s="5"/>
      <c r="B5" s="5"/>
      <c r="C5" s="5"/>
      <c r="D5" s="6"/>
      <c r="E5" s="6"/>
      <c r="F5" s="5"/>
      <c r="G5" s="5"/>
      <c r="H5" s="6"/>
      <c r="I5" s="6"/>
      <c r="J5" s="5"/>
      <c r="K5" s="5"/>
      <c r="L5" s="6"/>
      <c r="M5" s="6"/>
      <c r="N5" s="5"/>
      <c r="O5" s="5"/>
      <c r="P5" s="6"/>
      <c r="Q5" s="6"/>
      <c r="R5" s="5"/>
      <c r="S5" s="5"/>
      <c r="T5" s="6"/>
      <c r="U5" s="6"/>
      <c r="V5" s="5"/>
      <c r="W5" s="5"/>
      <c r="X5" s="6"/>
      <c r="Y5" s="6"/>
      <c r="Z5" s="5"/>
    </row>
    <row r="6" spans="1:26" ht="44.25">
      <c r="A6" s="107"/>
      <c r="B6" s="378">
        <v>4</v>
      </c>
      <c r="C6" s="379"/>
      <c r="D6" s="380"/>
      <c r="E6" s="108" t="s">
        <v>9</v>
      </c>
      <c r="F6" s="378">
        <v>5</v>
      </c>
      <c r="G6" s="379"/>
      <c r="H6" s="380"/>
      <c r="I6" s="108" t="s">
        <v>9</v>
      </c>
      <c r="J6" s="378">
        <v>6</v>
      </c>
      <c r="K6" s="379"/>
      <c r="L6" s="380"/>
      <c r="M6" s="108" t="s">
        <v>9</v>
      </c>
      <c r="N6" s="378">
        <v>7</v>
      </c>
      <c r="O6" s="379"/>
      <c r="P6" s="380"/>
      <c r="Q6" s="108" t="s">
        <v>9</v>
      </c>
      <c r="R6" s="378">
        <v>8</v>
      </c>
      <c r="S6" s="379"/>
      <c r="T6" s="380"/>
      <c r="U6" s="108" t="s">
        <v>9</v>
      </c>
      <c r="V6" s="378">
        <v>9</v>
      </c>
      <c r="W6" s="379"/>
      <c r="X6" s="380"/>
      <c r="Y6" s="108" t="s">
        <v>9</v>
      </c>
      <c r="Z6" s="109"/>
    </row>
    <row r="7" spans="1:26" ht="44.25">
      <c r="A7" s="110"/>
      <c r="B7" s="9"/>
      <c r="C7" s="9"/>
      <c r="D7" s="9" t="s">
        <v>10</v>
      </c>
      <c r="E7" s="9" t="s">
        <v>236</v>
      </c>
      <c r="F7" s="9"/>
      <c r="G7" s="9"/>
      <c r="H7" s="9" t="s">
        <v>10</v>
      </c>
      <c r="I7" s="9" t="s">
        <v>236</v>
      </c>
      <c r="J7" s="9"/>
      <c r="K7" s="9"/>
      <c r="L7" s="9" t="s">
        <v>10</v>
      </c>
      <c r="M7" s="9" t="s">
        <v>236</v>
      </c>
      <c r="N7" s="9"/>
      <c r="O7" s="9"/>
      <c r="P7" s="9" t="s">
        <v>10</v>
      </c>
      <c r="Q7" s="12" t="s">
        <v>236</v>
      </c>
      <c r="R7" s="9"/>
      <c r="S7" s="9"/>
      <c r="T7" s="9" t="s">
        <v>10</v>
      </c>
      <c r="U7" s="12" t="s">
        <v>236</v>
      </c>
      <c r="V7" s="9"/>
      <c r="W7" s="9"/>
      <c r="X7" s="9" t="s">
        <v>10</v>
      </c>
      <c r="Y7" s="9" t="s">
        <v>236</v>
      </c>
      <c r="Z7" s="111"/>
    </row>
    <row r="8" spans="1:26" ht="100.35" customHeight="1">
      <c r="A8" s="112">
        <v>1</v>
      </c>
      <c r="B8" s="10">
        <f>DATE($H$1,$B$6,$A8)</f>
        <v>45017</v>
      </c>
      <c r="C8" s="31" t="s">
        <v>12</v>
      </c>
      <c r="D8" s="41" t="s">
        <v>237</v>
      </c>
      <c r="E8" s="41" t="s">
        <v>238</v>
      </c>
      <c r="F8" s="10">
        <f>DATE($H$1,$F$6,$A8)</f>
        <v>45047</v>
      </c>
      <c r="G8" s="29">
        <v>3</v>
      </c>
      <c r="H8" s="42" t="s">
        <v>12</v>
      </c>
      <c r="I8" s="42" t="s">
        <v>239</v>
      </c>
      <c r="J8" s="10">
        <f>DATE($H$1,$J$6,$A8)</f>
        <v>45078</v>
      </c>
      <c r="K8" s="29">
        <v>6</v>
      </c>
      <c r="L8" s="42" t="s">
        <v>240</v>
      </c>
      <c r="M8" s="45"/>
      <c r="N8" s="10">
        <f>DATE($H$1,$N$6,$A8)</f>
        <v>45108</v>
      </c>
      <c r="O8" s="29"/>
      <c r="P8" s="191"/>
      <c r="Q8" s="192"/>
      <c r="R8" s="10">
        <f>DATE($H$1,$R$6,$A8)</f>
        <v>45139</v>
      </c>
      <c r="S8" s="29"/>
      <c r="T8" s="60" t="s">
        <v>241</v>
      </c>
      <c r="U8" s="164" t="s">
        <v>242</v>
      </c>
      <c r="V8" s="11">
        <f>DATE($H$1,$V$6,$A8)</f>
        <v>45170</v>
      </c>
      <c r="W8" s="29" t="s">
        <v>12</v>
      </c>
      <c r="X8" s="41"/>
      <c r="Y8" s="41"/>
      <c r="Z8" s="113">
        <v>1</v>
      </c>
    </row>
    <row r="9" spans="1:26" ht="100.35" customHeight="1">
      <c r="A9" s="112">
        <v>2</v>
      </c>
      <c r="B9" s="10">
        <f t="shared" ref="B9:B37" si="0">DATE($H$1,$B$6,$A9)</f>
        <v>45018</v>
      </c>
      <c r="C9" s="31" t="s">
        <v>12</v>
      </c>
      <c r="D9" s="41" t="s">
        <v>12</v>
      </c>
      <c r="E9" s="41"/>
      <c r="F9" s="10">
        <f t="shared" ref="F9:F38" si="1">DATE($H$1,$F$6,$A9)</f>
        <v>45048</v>
      </c>
      <c r="G9" s="158">
        <v>3</v>
      </c>
      <c r="H9" s="41" t="s">
        <v>243</v>
      </c>
      <c r="I9" s="41" t="s">
        <v>243</v>
      </c>
      <c r="J9" s="10">
        <f t="shared" ref="J9:J37" si="2">DATE($H$1,$J$6,$A9)</f>
        <v>45079</v>
      </c>
      <c r="K9" s="29">
        <v>7</v>
      </c>
      <c r="L9" s="58"/>
      <c r="M9" s="161"/>
      <c r="N9" s="10">
        <f t="shared" ref="N9:N38" si="3">DATE($H$1,$N$6,$A9)</f>
        <v>45109</v>
      </c>
      <c r="O9" s="29" t="s">
        <v>12</v>
      </c>
      <c r="P9" s="152"/>
      <c r="Q9" s="153"/>
      <c r="R9" s="10">
        <f t="shared" ref="R9:R38" si="4">DATE($H$1,$R$6,$A9)</f>
        <v>45140</v>
      </c>
      <c r="S9" s="29" t="s">
        <v>12</v>
      </c>
      <c r="T9" s="60" t="s">
        <v>244</v>
      </c>
      <c r="U9" s="164" t="s">
        <v>245</v>
      </c>
      <c r="V9" s="11">
        <f t="shared" ref="V9:V37" si="5">DATE($H$1,$V$6,$A9)</f>
        <v>45171</v>
      </c>
      <c r="W9" s="29" t="s">
        <v>12</v>
      </c>
      <c r="X9" s="41" t="s">
        <v>12</v>
      </c>
      <c r="Y9" s="63"/>
      <c r="Z9" s="113">
        <v>2</v>
      </c>
    </row>
    <row r="10" spans="1:26" ht="100.35" customHeight="1">
      <c r="A10" s="112">
        <v>3</v>
      </c>
      <c r="B10" s="10">
        <f t="shared" si="0"/>
        <v>45019</v>
      </c>
      <c r="C10" s="31" t="s">
        <v>12</v>
      </c>
      <c r="D10" s="41" t="s">
        <v>246</v>
      </c>
      <c r="E10" s="41"/>
      <c r="F10" s="10">
        <f t="shared" si="1"/>
        <v>45049</v>
      </c>
      <c r="G10" s="38" t="s">
        <v>12</v>
      </c>
      <c r="H10" s="46" t="s">
        <v>21</v>
      </c>
      <c r="I10" s="46" t="s">
        <v>21</v>
      </c>
      <c r="J10" s="10">
        <f t="shared" si="2"/>
        <v>45080</v>
      </c>
      <c r="K10" s="29"/>
      <c r="L10" s="179" t="s">
        <v>247</v>
      </c>
      <c r="M10" s="180" t="s">
        <v>247</v>
      </c>
      <c r="N10" s="11">
        <f t="shared" si="3"/>
        <v>45110</v>
      </c>
      <c r="O10" s="29">
        <v>11</v>
      </c>
      <c r="P10" s="60" t="s">
        <v>12</v>
      </c>
      <c r="Q10" s="62" t="s">
        <v>248</v>
      </c>
      <c r="R10" s="10">
        <f t="shared" si="4"/>
        <v>45141</v>
      </c>
      <c r="S10" s="29" t="s">
        <v>12</v>
      </c>
      <c r="T10" s="60" t="s">
        <v>249</v>
      </c>
      <c r="U10" s="164" t="s">
        <v>250</v>
      </c>
      <c r="V10" s="11">
        <f t="shared" si="5"/>
        <v>45172</v>
      </c>
      <c r="W10" s="29" t="s">
        <v>12</v>
      </c>
      <c r="X10" s="41" t="s">
        <v>12</v>
      </c>
      <c r="Y10" s="41"/>
      <c r="Z10" s="113">
        <v>3</v>
      </c>
    </row>
    <row r="11" spans="1:26" ht="100.35" customHeight="1">
      <c r="A11" s="112">
        <v>4</v>
      </c>
      <c r="B11" s="10">
        <f t="shared" si="0"/>
        <v>45020</v>
      </c>
      <c r="C11" s="31" t="s">
        <v>12</v>
      </c>
      <c r="D11" s="41" t="s">
        <v>251</v>
      </c>
      <c r="E11" s="41"/>
      <c r="F11" s="10">
        <f t="shared" si="1"/>
        <v>45050</v>
      </c>
      <c r="G11" s="38" t="s">
        <v>12</v>
      </c>
      <c r="H11" s="46" t="s">
        <v>252</v>
      </c>
      <c r="I11" s="46" t="s">
        <v>252</v>
      </c>
      <c r="J11" s="10">
        <f t="shared" si="2"/>
        <v>45081</v>
      </c>
      <c r="K11" s="29" t="s">
        <v>12</v>
      </c>
      <c r="L11" s="59"/>
      <c r="M11" s="101"/>
      <c r="N11" s="10">
        <f t="shared" si="3"/>
        <v>45111</v>
      </c>
      <c r="O11" s="29">
        <v>11</v>
      </c>
      <c r="P11" s="41" t="s">
        <v>12</v>
      </c>
      <c r="Q11" s="43" t="s">
        <v>253</v>
      </c>
      <c r="R11" s="10">
        <f t="shared" si="4"/>
        <v>45142</v>
      </c>
      <c r="S11" s="29" t="s">
        <v>12</v>
      </c>
      <c r="T11" s="41" t="s">
        <v>23</v>
      </c>
      <c r="U11" s="43" t="s">
        <v>241</v>
      </c>
      <c r="V11" s="10">
        <f t="shared" si="5"/>
        <v>45173</v>
      </c>
      <c r="W11" s="29" t="s">
        <v>12</v>
      </c>
      <c r="X11" s="41" t="s">
        <v>12</v>
      </c>
      <c r="Y11" s="63" t="s">
        <v>254</v>
      </c>
      <c r="Z11" s="113">
        <v>4</v>
      </c>
    </row>
    <row r="12" spans="1:26" ht="100.35" customHeight="1">
      <c r="A12" s="112">
        <v>5</v>
      </c>
      <c r="B12" s="10">
        <f t="shared" si="0"/>
        <v>45021</v>
      </c>
      <c r="C12" s="31" t="s">
        <v>12</v>
      </c>
      <c r="D12" s="42" t="s">
        <v>255</v>
      </c>
      <c r="E12" s="42"/>
      <c r="F12" s="10">
        <f t="shared" si="1"/>
        <v>45051</v>
      </c>
      <c r="G12" s="38" t="s">
        <v>12</v>
      </c>
      <c r="H12" s="46" t="s">
        <v>256</v>
      </c>
      <c r="I12" s="46" t="s">
        <v>256</v>
      </c>
      <c r="J12" s="10">
        <f t="shared" si="2"/>
        <v>45082</v>
      </c>
      <c r="K12" s="159" t="s">
        <v>257</v>
      </c>
      <c r="L12" s="46" t="s">
        <v>258</v>
      </c>
      <c r="M12" s="46" t="s">
        <v>258</v>
      </c>
      <c r="N12" s="10">
        <f t="shared" si="3"/>
        <v>45112</v>
      </c>
      <c r="O12" s="29">
        <v>12</v>
      </c>
      <c r="P12" s="189" t="s">
        <v>259</v>
      </c>
      <c r="Q12" s="41"/>
      <c r="R12" s="10">
        <f t="shared" si="4"/>
        <v>45143</v>
      </c>
      <c r="S12" s="29" t="s">
        <v>12</v>
      </c>
      <c r="T12" s="44"/>
      <c r="U12" s="44"/>
      <c r="V12" s="10">
        <f t="shared" si="5"/>
        <v>45174</v>
      </c>
      <c r="W12" s="29" t="s">
        <v>12</v>
      </c>
      <c r="X12" s="41" t="s">
        <v>12</v>
      </c>
      <c r="Y12" s="41"/>
      <c r="Z12" s="113">
        <v>5</v>
      </c>
    </row>
    <row r="13" spans="1:26" ht="100.35" customHeight="1">
      <c r="A13" s="112">
        <v>6</v>
      </c>
      <c r="B13" s="10">
        <f t="shared" si="0"/>
        <v>45022</v>
      </c>
      <c r="C13" s="31" t="s">
        <v>12</v>
      </c>
      <c r="D13" s="42" t="s">
        <v>260</v>
      </c>
      <c r="E13" s="41" t="s">
        <v>31</v>
      </c>
      <c r="F13" s="10">
        <f t="shared" si="1"/>
        <v>45052</v>
      </c>
      <c r="G13" s="29"/>
      <c r="H13" s="50"/>
      <c r="I13" s="42"/>
      <c r="J13" s="10">
        <f t="shared" si="2"/>
        <v>45083</v>
      </c>
      <c r="K13" s="29"/>
      <c r="L13" s="46" t="s">
        <v>261</v>
      </c>
      <c r="M13" s="41" t="s">
        <v>262</v>
      </c>
      <c r="N13" s="10">
        <f t="shared" si="3"/>
        <v>45113</v>
      </c>
      <c r="O13" s="29">
        <v>12</v>
      </c>
      <c r="P13" s="41" t="s">
        <v>19</v>
      </c>
      <c r="Q13" s="41"/>
      <c r="R13" s="10">
        <f t="shared" si="4"/>
        <v>45144</v>
      </c>
      <c r="S13" s="29" t="s">
        <v>12</v>
      </c>
      <c r="T13" s="45" t="s">
        <v>12</v>
      </c>
      <c r="U13" s="65"/>
      <c r="V13" s="10">
        <f t="shared" si="5"/>
        <v>45175</v>
      </c>
      <c r="W13" s="29" t="s">
        <v>12</v>
      </c>
      <c r="X13" s="41" t="s">
        <v>12</v>
      </c>
      <c r="Y13" s="41"/>
      <c r="Z13" s="113">
        <v>6</v>
      </c>
    </row>
    <row r="14" spans="1:26" ht="100.35" customHeight="1">
      <c r="A14" s="112">
        <v>7</v>
      </c>
      <c r="B14" s="10">
        <f t="shared" si="0"/>
        <v>45023</v>
      </c>
      <c r="C14" s="31" t="s">
        <v>12</v>
      </c>
      <c r="D14" s="42" t="s">
        <v>35</v>
      </c>
      <c r="E14" s="42" t="s">
        <v>263</v>
      </c>
      <c r="F14" s="10">
        <f t="shared" si="1"/>
        <v>45053</v>
      </c>
      <c r="G14" s="29" t="s">
        <v>12</v>
      </c>
      <c r="H14" s="42" t="s">
        <v>12</v>
      </c>
      <c r="I14" s="42"/>
      <c r="J14" s="10">
        <f t="shared" si="2"/>
        <v>45084</v>
      </c>
      <c r="K14" s="29">
        <v>8</v>
      </c>
      <c r="L14" s="41" t="s">
        <v>264</v>
      </c>
      <c r="M14" s="41"/>
      <c r="N14" s="10">
        <f t="shared" si="3"/>
        <v>45114</v>
      </c>
      <c r="O14" s="29">
        <v>12</v>
      </c>
      <c r="P14" s="45"/>
      <c r="Q14" s="41"/>
      <c r="R14" s="10">
        <f t="shared" si="4"/>
        <v>45145</v>
      </c>
      <c r="S14" s="29" t="s">
        <v>12</v>
      </c>
      <c r="T14" s="41" t="s">
        <v>265</v>
      </c>
      <c r="U14" s="102" t="s">
        <v>106</v>
      </c>
      <c r="V14" s="10">
        <f t="shared" si="5"/>
        <v>45176</v>
      </c>
      <c r="W14" s="29" t="s">
        <v>12</v>
      </c>
      <c r="X14" s="41" t="s">
        <v>12</v>
      </c>
      <c r="Y14" s="41"/>
      <c r="Z14" s="113">
        <v>7</v>
      </c>
    </row>
    <row r="15" spans="1:26" ht="100.35" customHeight="1">
      <c r="A15" s="112">
        <v>8</v>
      </c>
      <c r="B15" s="10">
        <f t="shared" si="0"/>
        <v>45024</v>
      </c>
      <c r="C15" s="31"/>
      <c r="D15" s="41"/>
      <c r="E15" s="41"/>
      <c r="F15" s="10">
        <f t="shared" si="1"/>
        <v>45054</v>
      </c>
      <c r="G15" s="29">
        <v>4</v>
      </c>
      <c r="H15" s="42" t="s">
        <v>12</v>
      </c>
      <c r="I15" s="42" t="s">
        <v>266</v>
      </c>
      <c r="J15" s="10">
        <f t="shared" si="2"/>
        <v>45085</v>
      </c>
      <c r="K15" s="29">
        <v>8</v>
      </c>
      <c r="L15" s="41" t="s">
        <v>267</v>
      </c>
      <c r="M15" s="41"/>
      <c r="N15" s="10">
        <f t="shared" si="3"/>
        <v>45115</v>
      </c>
      <c r="O15" s="74"/>
      <c r="P15" s="180" t="s">
        <v>268</v>
      </c>
      <c r="Q15" s="181" t="s">
        <v>268</v>
      </c>
      <c r="R15" s="10">
        <f t="shared" si="4"/>
        <v>45146</v>
      </c>
      <c r="S15" s="74" t="s">
        <v>12</v>
      </c>
      <c r="T15" s="160" t="s">
        <v>269</v>
      </c>
      <c r="U15" s="102" t="s">
        <v>107</v>
      </c>
      <c r="V15" s="11">
        <f t="shared" si="5"/>
        <v>45177</v>
      </c>
      <c r="W15" s="29" t="s">
        <v>12</v>
      </c>
      <c r="X15" s="41" t="s">
        <v>12</v>
      </c>
      <c r="Y15" s="41"/>
      <c r="Z15" s="113">
        <v>8</v>
      </c>
    </row>
    <row r="16" spans="1:26" ht="100.35" customHeight="1" thickBot="1">
      <c r="A16" s="112">
        <v>9</v>
      </c>
      <c r="B16" s="10">
        <f t="shared" si="0"/>
        <v>45025</v>
      </c>
      <c r="C16" s="31" t="s">
        <v>12</v>
      </c>
      <c r="D16" s="41" t="s">
        <v>12</v>
      </c>
      <c r="E16" s="41"/>
      <c r="F16" s="10">
        <f t="shared" si="1"/>
        <v>45055</v>
      </c>
      <c r="G16" s="29">
        <v>4</v>
      </c>
      <c r="H16" s="41" t="s">
        <v>12</v>
      </c>
      <c r="I16" s="41"/>
      <c r="J16" s="10">
        <f t="shared" si="2"/>
        <v>45086</v>
      </c>
      <c r="K16" s="29">
        <v>8</v>
      </c>
      <c r="L16" s="45" t="s">
        <v>270</v>
      </c>
      <c r="M16" s="45" t="s">
        <v>271</v>
      </c>
      <c r="N16" s="10">
        <f t="shared" si="3"/>
        <v>45116</v>
      </c>
      <c r="O16" s="29" t="s">
        <v>12</v>
      </c>
      <c r="P16" s="101"/>
      <c r="Q16" s="41"/>
      <c r="R16" s="10">
        <f t="shared" si="4"/>
        <v>45147</v>
      </c>
      <c r="S16" s="74" t="s">
        <v>12</v>
      </c>
      <c r="T16" s="204" t="s">
        <v>272</v>
      </c>
      <c r="U16" s="45" t="s">
        <v>23</v>
      </c>
      <c r="V16" s="10">
        <f t="shared" si="5"/>
        <v>45178</v>
      </c>
      <c r="W16" s="29" t="s">
        <v>12</v>
      </c>
      <c r="X16" s="226" t="s">
        <v>273</v>
      </c>
      <c r="Y16" s="67" t="s">
        <v>274</v>
      </c>
      <c r="Z16" s="113">
        <v>9</v>
      </c>
    </row>
    <row r="17" spans="1:26" ht="113.1" customHeight="1" thickTop="1">
      <c r="A17" s="116">
        <v>10</v>
      </c>
      <c r="B17" s="10">
        <f t="shared" si="0"/>
        <v>45026</v>
      </c>
      <c r="C17" s="145" t="s">
        <v>12</v>
      </c>
      <c r="D17" s="97" t="s">
        <v>275</v>
      </c>
      <c r="E17" s="97" t="s">
        <v>276</v>
      </c>
      <c r="F17" s="10">
        <f t="shared" si="1"/>
        <v>45056</v>
      </c>
      <c r="G17" s="127">
        <v>4</v>
      </c>
      <c r="H17" s="97" t="s">
        <v>277</v>
      </c>
      <c r="I17" s="45"/>
      <c r="J17" s="10">
        <f t="shared" si="2"/>
        <v>45087</v>
      </c>
      <c r="K17" s="127"/>
      <c r="L17" s="45"/>
      <c r="M17" s="45"/>
      <c r="N17" s="10">
        <f t="shared" si="3"/>
        <v>45117</v>
      </c>
      <c r="O17" s="127">
        <v>12</v>
      </c>
      <c r="P17" s="97" t="s">
        <v>278</v>
      </c>
      <c r="Q17" s="45" t="s">
        <v>279</v>
      </c>
      <c r="R17" s="10">
        <f t="shared" si="4"/>
        <v>45148</v>
      </c>
      <c r="S17" s="127" t="s">
        <v>12</v>
      </c>
      <c r="T17" s="205" t="s">
        <v>280</v>
      </c>
      <c r="U17" s="203" t="s">
        <v>281</v>
      </c>
      <c r="V17" s="10">
        <f t="shared" si="5"/>
        <v>45179</v>
      </c>
      <c r="W17" s="127" t="s">
        <v>12</v>
      </c>
      <c r="X17" s="67"/>
      <c r="Y17" s="67"/>
      <c r="Z17" s="141">
        <v>10</v>
      </c>
    </row>
    <row r="18" spans="1:26" ht="100.35" customHeight="1">
      <c r="A18" s="129">
        <v>11</v>
      </c>
      <c r="B18" s="10">
        <f t="shared" si="0"/>
        <v>45027</v>
      </c>
      <c r="C18" s="148"/>
      <c r="D18" s="199" t="s">
        <v>282</v>
      </c>
      <c r="E18" s="43" t="s">
        <v>283</v>
      </c>
      <c r="F18" s="10">
        <f t="shared" si="1"/>
        <v>45057</v>
      </c>
      <c r="G18" s="130">
        <v>4</v>
      </c>
      <c r="H18" s="97" t="s">
        <v>19</v>
      </c>
      <c r="I18" s="97"/>
      <c r="J18" s="10">
        <f t="shared" si="2"/>
        <v>45088</v>
      </c>
      <c r="K18" s="130" t="s">
        <v>12</v>
      </c>
      <c r="L18" s="97" t="s">
        <v>12</v>
      </c>
      <c r="M18" s="97"/>
      <c r="N18" s="10">
        <f t="shared" si="3"/>
        <v>45118</v>
      </c>
      <c r="O18" s="130">
        <v>12</v>
      </c>
      <c r="P18" s="97"/>
      <c r="Q18" s="97" t="s">
        <v>284</v>
      </c>
      <c r="R18" s="10">
        <f t="shared" si="4"/>
        <v>45149</v>
      </c>
      <c r="S18" s="149" t="s">
        <v>12</v>
      </c>
      <c r="T18" s="131" t="s">
        <v>285</v>
      </c>
      <c r="U18" s="131" t="s">
        <v>285</v>
      </c>
      <c r="V18" s="10">
        <f t="shared" si="5"/>
        <v>45180</v>
      </c>
      <c r="W18" s="130" t="s">
        <v>12</v>
      </c>
      <c r="X18" s="97" t="s">
        <v>12</v>
      </c>
      <c r="Y18" s="97"/>
      <c r="Z18" s="150">
        <v>11</v>
      </c>
    </row>
    <row r="19" spans="1:26" ht="100.35" customHeight="1">
      <c r="A19" s="114">
        <v>12</v>
      </c>
      <c r="B19" s="10">
        <f t="shared" si="0"/>
        <v>45028</v>
      </c>
      <c r="C19" s="146">
        <v>1</v>
      </c>
      <c r="D19" s="200" t="s">
        <v>286</v>
      </c>
      <c r="E19" s="43"/>
      <c r="F19" s="10">
        <f t="shared" si="1"/>
        <v>45058</v>
      </c>
      <c r="G19" s="128">
        <v>4</v>
      </c>
      <c r="H19" s="99" t="s">
        <v>12</v>
      </c>
      <c r="I19" s="99"/>
      <c r="J19" s="10">
        <f t="shared" si="2"/>
        <v>45089</v>
      </c>
      <c r="K19" s="128">
        <v>8</v>
      </c>
      <c r="L19" s="45" t="s">
        <v>287</v>
      </c>
      <c r="M19" s="43" t="s">
        <v>288</v>
      </c>
      <c r="N19" s="10">
        <f t="shared" si="3"/>
        <v>45119</v>
      </c>
      <c r="O19" s="128">
        <v>13</v>
      </c>
      <c r="P19" s="41" t="s">
        <v>45</v>
      </c>
      <c r="Q19" s="43"/>
      <c r="R19" s="10">
        <f t="shared" si="4"/>
        <v>45150</v>
      </c>
      <c r="S19" s="128" t="s">
        <v>12</v>
      </c>
      <c r="T19" s="43" t="s">
        <v>12</v>
      </c>
      <c r="U19" s="43"/>
      <c r="V19" s="10">
        <f t="shared" si="5"/>
        <v>45181</v>
      </c>
      <c r="W19" s="128" t="s">
        <v>12</v>
      </c>
      <c r="X19" s="43" t="s">
        <v>12</v>
      </c>
      <c r="Y19" s="43"/>
      <c r="Z19" s="147">
        <v>12</v>
      </c>
    </row>
    <row r="20" spans="1:26" ht="100.35" customHeight="1" thickBot="1">
      <c r="A20" s="112">
        <v>13</v>
      </c>
      <c r="B20" s="10">
        <f t="shared" si="0"/>
        <v>45029</v>
      </c>
      <c r="C20" s="31">
        <v>1</v>
      </c>
      <c r="D20" s="209" t="s">
        <v>289</v>
      </c>
      <c r="E20" s="41"/>
      <c r="F20" s="10">
        <f t="shared" si="1"/>
        <v>45059</v>
      </c>
      <c r="G20" s="29"/>
      <c r="H20" s="47" t="s">
        <v>12</v>
      </c>
      <c r="I20" s="47"/>
      <c r="J20" s="10">
        <f t="shared" si="2"/>
        <v>45090</v>
      </c>
      <c r="K20" s="29">
        <v>8</v>
      </c>
      <c r="L20" s="189" t="s">
        <v>290</v>
      </c>
      <c r="M20" s="115" t="s">
        <v>291</v>
      </c>
      <c r="N20" s="10">
        <f t="shared" si="3"/>
        <v>45120</v>
      </c>
      <c r="O20" s="29">
        <v>13</v>
      </c>
      <c r="P20" s="41"/>
      <c r="Q20" s="41"/>
      <c r="R20" s="10">
        <f t="shared" si="4"/>
        <v>45151</v>
      </c>
      <c r="S20" s="29" t="s">
        <v>12</v>
      </c>
      <c r="T20" s="41" t="s">
        <v>12</v>
      </c>
      <c r="U20" s="41"/>
      <c r="V20" s="10">
        <f t="shared" si="5"/>
        <v>45182</v>
      </c>
      <c r="W20" s="29" t="s">
        <v>12</v>
      </c>
      <c r="X20" s="206" t="s">
        <v>292</v>
      </c>
      <c r="Y20" s="41"/>
      <c r="Z20" s="113">
        <v>13</v>
      </c>
    </row>
    <row r="21" spans="1:26" ht="100.35" customHeight="1" thickTop="1">
      <c r="A21" s="112">
        <v>14</v>
      </c>
      <c r="B21" s="10">
        <f t="shared" si="0"/>
        <v>45030</v>
      </c>
      <c r="C21" s="31">
        <v>1</v>
      </c>
      <c r="D21" s="197"/>
      <c r="E21" s="41"/>
      <c r="F21" s="10">
        <f t="shared" si="1"/>
        <v>45060</v>
      </c>
      <c r="G21" s="29" t="s">
        <v>12</v>
      </c>
      <c r="H21" s="47" t="s">
        <v>12</v>
      </c>
      <c r="I21" s="47"/>
      <c r="J21" s="10">
        <f t="shared" si="2"/>
        <v>45091</v>
      </c>
      <c r="K21" s="29">
        <v>9</v>
      </c>
      <c r="L21" s="115" t="s">
        <v>293</v>
      </c>
      <c r="M21" s="41"/>
      <c r="N21" s="10">
        <f t="shared" si="3"/>
        <v>45121</v>
      </c>
      <c r="O21" s="29">
        <v>13</v>
      </c>
      <c r="P21" s="41" t="s">
        <v>12</v>
      </c>
      <c r="Q21" s="41"/>
      <c r="R21" s="10">
        <f t="shared" si="4"/>
        <v>45152</v>
      </c>
      <c r="S21" s="29" t="s">
        <v>12</v>
      </c>
      <c r="T21" s="41" t="s">
        <v>12</v>
      </c>
      <c r="U21" s="41"/>
      <c r="V21" s="10">
        <f t="shared" si="5"/>
        <v>45183</v>
      </c>
      <c r="W21" s="29" t="s">
        <v>12</v>
      </c>
      <c r="X21" s="40" t="s">
        <v>294</v>
      </c>
      <c r="Y21" s="45"/>
      <c r="Z21" s="113">
        <v>14</v>
      </c>
    </row>
    <row r="22" spans="1:26" ht="100.35" customHeight="1" thickBot="1">
      <c r="A22" s="112">
        <v>15</v>
      </c>
      <c r="B22" s="10">
        <f t="shared" si="0"/>
        <v>45031</v>
      </c>
      <c r="C22" s="31"/>
      <c r="D22" s="41"/>
      <c r="E22" s="41"/>
      <c r="F22" s="10">
        <f t="shared" si="1"/>
        <v>45061</v>
      </c>
      <c r="G22" s="29">
        <v>5</v>
      </c>
      <c r="H22" s="43" t="s">
        <v>12</v>
      </c>
      <c r="I22" s="43" t="s">
        <v>295</v>
      </c>
      <c r="J22" s="10">
        <f t="shared" si="2"/>
        <v>45092</v>
      </c>
      <c r="K22" s="29">
        <v>9</v>
      </c>
      <c r="L22" s="42"/>
      <c r="M22" s="41"/>
      <c r="N22" s="10">
        <f t="shared" si="3"/>
        <v>45122</v>
      </c>
      <c r="O22" s="29"/>
      <c r="P22" s="210" t="s">
        <v>296</v>
      </c>
      <c r="Q22" s="210" t="s">
        <v>297</v>
      </c>
      <c r="R22" s="10">
        <f t="shared" si="4"/>
        <v>45153</v>
      </c>
      <c r="S22" s="29" t="s">
        <v>12</v>
      </c>
      <c r="T22" s="154" t="s">
        <v>298</v>
      </c>
      <c r="U22" s="154" t="s">
        <v>299</v>
      </c>
      <c r="V22" s="10">
        <f t="shared" si="5"/>
        <v>45184</v>
      </c>
      <c r="W22" s="29" t="s">
        <v>12</v>
      </c>
      <c r="X22" s="46" t="s">
        <v>300</v>
      </c>
      <c r="Y22" s="207" t="s">
        <v>60</v>
      </c>
      <c r="Z22" s="162">
        <v>15</v>
      </c>
    </row>
    <row r="23" spans="1:26" ht="100.35" customHeight="1" thickTop="1">
      <c r="A23" s="112">
        <v>16</v>
      </c>
      <c r="B23" s="10">
        <f t="shared" si="0"/>
        <v>45032</v>
      </c>
      <c r="C23" s="31" t="s">
        <v>12</v>
      </c>
      <c r="D23" s="41" t="s">
        <v>12</v>
      </c>
      <c r="E23" s="41"/>
      <c r="F23" s="10">
        <f t="shared" si="1"/>
        <v>45062</v>
      </c>
      <c r="G23" s="29">
        <v>5</v>
      </c>
      <c r="H23" s="41" t="s">
        <v>12</v>
      </c>
      <c r="I23" s="41"/>
      <c r="J23" s="10">
        <f t="shared" si="2"/>
        <v>45093</v>
      </c>
      <c r="K23" s="29">
        <v>9</v>
      </c>
      <c r="L23" s="42"/>
      <c r="M23" s="45"/>
      <c r="N23" s="10">
        <f t="shared" si="3"/>
        <v>45123</v>
      </c>
      <c r="O23" s="29" t="s">
        <v>12</v>
      </c>
      <c r="P23" s="41" t="s">
        <v>12</v>
      </c>
      <c r="Q23" s="41"/>
      <c r="R23" s="10">
        <f t="shared" si="4"/>
        <v>45154</v>
      </c>
      <c r="S23" s="29" t="s">
        <v>12</v>
      </c>
      <c r="T23" s="41" t="s">
        <v>12</v>
      </c>
      <c r="U23" s="41"/>
      <c r="V23" s="10">
        <f t="shared" si="5"/>
        <v>45185</v>
      </c>
      <c r="W23" s="29"/>
      <c r="X23" s="73"/>
      <c r="Y23" s="43"/>
      <c r="Z23" s="113">
        <v>16</v>
      </c>
    </row>
    <row r="24" spans="1:26" ht="100.35" customHeight="1">
      <c r="A24" s="112">
        <v>17</v>
      </c>
      <c r="B24" s="10">
        <f t="shared" si="0"/>
        <v>45033</v>
      </c>
      <c r="C24" s="31">
        <v>1</v>
      </c>
      <c r="D24" s="55"/>
      <c r="E24" s="41" t="s">
        <v>301</v>
      </c>
      <c r="F24" s="10">
        <f t="shared" si="1"/>
        <v>45063</v>
      </c>
      <c r="G24" s="29">
        <v>5</v>
      </c>
      <c r="H24" s="41" t="s">
        <v>302</v>
      </c>
      <c r="I24" s="41"/>
      <c r="J24" s="10">
        <f t="shared" si="2"/>
        <v>45094</v>
      </c>
      <c r="K24" s="29"/>
      <c r="L24" s="46"/>
      <c r="M24" s="41"/>
      <c r="N24" s="10">
        <f t="shared" si="3"/>
        <v>45124</v>
      </c>
      <c r="O24" s="38" t="s">
        <v>12</v>
      </c>
      <c r="P24" s="63" t="s">
        <v>74</v>
      </c>
      <c r="Q24" s="63" t="s">
        <v>74</v>
      </c>
      <c r="R24" s="10">
        <f t="shared" si="4"/>
        <v>45155</v>
      </c>
      <c r="S24" s="29" t="s">
        <v>12</v>
      </c>
      <c r="T24" s="44" t="s">
        <v>303</v>
      </c>
      <c r="U24" s="44" t="s">
        <v>303</v>
      </c>
      <c r="V24" s="10">
        <f t="shared" si="5"/>
        <v>45186</v>
      </c>
      <c r="W24" s="29" t="s">
        <v>12</v>
      </c>
      <c r="X24" s="41" t="s">
        <v>12</v>
      </c>
      <c r="Y24" s="41"/>
      <c r="Z24" s="113">
        <v>17</v>
      </c>
    </row>
    <row r="25" spans="1:26" ht="100.35" customHeight="1">
      <c r="A25" s="112">
        <v>18</v>
      </c>
      <c r="B25" s="10">
        <f t="shared" si="0"/>
        <v>45034</v>
      </c>
      <c r="C25" s="31">
        <v>1</v>
      </c>
      <c r="D25" s="45" t="s">
        <v>12</v>
      </c>
      <c r="E25" s="41"/>
      <c r="F25" s="10">
        <f t="shared" si="1"/>
        <v>45064</v>
      </c>
      <c r="G25" s="29">
        <v>5</v>
      </c>
      <c r="H25" s="182" t="s">
        <v>304</v>
      </c>
      <c r="I25" s="182" t="s">
        <v>305</v>
      </c>
      <c r="J25" s="10">
        <f t="shared" si="2"/>
        <v>45095</v>
      </c>
      <c r="K25" s="29" t="s">
        <v>12</v>
      </c>
      <c r="L25" s="115" t="s">
        <v>12</v>
      </c>
      <c r="M25" s="41"/>
      <c r="N25" s="10">
        <f t="shared" si="3"/>
        <v>45125</v>
      </c>
      <c r="O25" s="29">
        <v>13</v>
      </c>
      <c r="P25" s="98" t="s">
        <v>306</v>
      </c>
      <c r="Q25" s="42" t="s">
        <v>307</v>
      </c>
      <c r="R25" s="10">
        <f t="shared" si="4"/>
        <v>45156</v>
      </c>
      <c r="S25" s="29" t="s">
        <v>12</v>
      </c>
      <c r="T25" s="67" t="s">
        <v>303</v>
      </c>
      <c r="U25" s="67" t="s">
        <v>303</v>
      </c>
      <c r="V25" s="10">
        <f t="shared" si="5"/>
        <v>45187</v>
      </c>
      <c r="W25" s="125" t="s">
        <v>12</v>
      </c>
      <c r="X25" s="126" t="s">
        <v>308</v>
      </c>
      <c r="Y25" s="126" t="s">
        <v>308</v>
      </c>
      <c r="Z25" s="113">
        <v>18</v>
      </c>
    </row>
    <row r="26" spans="1:26" ht="100.35" customHeight="1">
      <c r="A26" s="116">
        <v>19</v>
      </c>
      <c r="B26" s="10">
        <f t="shared" si="0"/>
        <v>45035</v>
      </c>
      <c r="C26" s="156">
        <v>2</v>
      </c>
      <c r="D26" s="102" t="s">
        <v>79</v>
      </c>
      <c r="E26" s="157"/>
      <c r="F26" s="10">
        <f t="shared" si="1"/>
        <v>45065</v>
      </c>
      <c r="G26" s="127">
        <v>5</v>
      </c>
      <c r="H26" s="45"/>
      <c r="I26" s="45"/>
      <c r="J26" s="10">
        <f t="shared" si="2"/>
        <v>45096</v>
      </c>
      <c r="K26" s="155">
        <v>9</v>
      </c>
      <c r="L26" s="102" t="s">
        <v>12</v>
      </c>
      <c r="M26" s="99" t="s">
        <v>309</v>
      </c>
      <c r="N26" s="10">
        <f t="shared" si="3"/>
        <v>45126</v>
      </c>
      <c r="O26" s="127">
        <v>14</v>
      </c>
      <c r="P26" s="97" t="s">
        <v>310</v>
      </c>
      <c r="Q26" s="98"/>
      <c r="R26" s="10">
        <f t="shared" si="4"/>
        <v>45157</v>
      </c>
      <c r="S26" s="127" t="s">
        <v>12</v>
      </c>
      <c r="T26" s="67" t="s">
        <v>303</v>
      </c>
      <c r="U26" s="67" t="s">
        <v>303</v>
      </c>
      <c r="V26" s="10">
        <f t="shared" si="5"/>
        <v>45188</v>
      </c>
      <c r="W26" s="29">
        <v>15</v>
      </c>
      <c r="X26" s="71" t="s">
        <v>123</v>
      </c>
      <c r="Y26" s="126"/>
      <c r="Z26" s="141">
        <v>19</v>
      </c>
    </row>
    <row r="27" spans="1:26" ht="100.35" customHeight="1">
      <c r="A27" s="129">
        <v>20</v>
      </c>
      <c r="B27" s="10">
        <f t="shared" si="0"/>
        <v>45036</v>
      </c>
      <c r="C27" s="148">
        <v>2</v>
      </c>
      <c r="D27" s="43" t="s">
        <v>82</v>
      </c>
      <c r="E27" s="97"/>
      <c r="F27" s="10">
        <f t="shared" si="1"/>
        <v>45066</v>
      </c>
      <c r="G27" s="130"/>
      <c r="H27" s="97" t="s">
        <v>12</v>
      </c>
      <c r="I27" s="97"/>
      <c r="J27" s="10">
        <f t="shared" si="2"/>
        <v>45097</v>
      </c>
      <c r="K27" s="130">
        <v>9</v>
      </c>
      <c r="L27" s="166" t="s">
        <v>121</v>
      </c>
      <c r="M27" s="47" t="s">
        <v>311</v>
      </c>
      <c r="N27" s="11">
        <f t="shared" si="3"/>
        <v>45127</v>
      </c>
      <c r="O27" s="130">
        <v>14</v>
      </c>
      <c r="P27" s="97"/>
      <c r="Q27" s="97"/>
      <c r="R27" s="10">
        <f t="shared" si="4"/>
        <v>45158</v>
      </c>
      <c r="S27" s="130" t="s">
        <v>12</v>
      </c>
      <c r="T27" s="97" t="s">
        <v>12</v>
      </c>
      <c r="U27" s="97"/>
      <c r="V27" s="10">
        <f t="shared" si="5"/>
        <v>45189</v>
      </c>
      <c r="W27" s="130">
        <v>15</v>
      </c>
      <c r="X27" s="151" t="s">
        <v>312</v>
      </c>
      <c r="Y27" s="97"/>
      <c r="Z27" s="150">
        <v>20</v>
      </c>
    </row>
    <row r="28" spans="1:26" ht="100.35" customHeight="1">
      <c r="A28" s="114">
        <v>21</v>
      </c>
      <c r="B28" s="10">
        <f t="shared" si="0"/>
        <v>45037</v>
      </c>
      <c r="C28" s="146">
        <v>2</v>
      </c>
      <c r="D28" s="41" t="s">
        <v>313</v>
      </c>
      <c r="E28" s="43"/>
      <c r="F28" s="10">
        <f t="shared" si="1"/>
        <v>45067</v>
      </c>
      <c r="G28" s="128" t="s">
        <v>12</v>
      </c>
      <c r="H28" s="43" t="s">
        <v>12</v>
      </c>
      <c r="I28" s="43"/>
      <c r="J28" s="10">
        <f t="shared" si="2"/>
        <v>45098</v>
      </c>
      <c r="K28" s="128">
        <v>10</v>
      </c>
      <c r="L28" s="41" t="s">
        <v>314</v>
      </c>
      <c r="M28" s="43"/>
      <c r="N28" s="10">
        <f t="shared" si="3"/>
        <v>45128</v>
      </c>
      <c r="O28" s="128">
        <v>14</v>
      </c>
      <c r="P28" s="41"/>
      <c r="Q28" s="43"/>
      <c r="R28" s="10">
        <f t="shared" si="4"/>
        <v>45159</v>
      </c>
      <c r="S28" s="128" t="s">
        <v>12</v>
      </c>
      <c r="T28" s="115" t="s">
        <v>12</v>
      </c>
      <c r="U28" s="43"/>
      <c r="V28" s="10">
        <f t="shared" si="5"/>
        <v>45190</v>
      </c>
      <c r="W28" s="128">
        <v>15</v>
      </c>
      <c r="X28" s="73" t="s">
        <v>123</v>
      </c>
      <c r="Y28" s="43"/>
      <c r="Z28" s="147">
        <v>21</v>
      </c>
    </row>
    <row r="29" spans="1:26" ht="100.35" customHeight="1">
      <c r="A29" s="112">
        <v>22</v>
      </c>
      <c r="B29" s="10">
        <f t="shared" si="0"/>
        <v>45038</v>
      </c>
      <c r="C29" s="31"/>
      <c r="D29" s="41" t="s">
        <v>315</v>
      </c>
      <c r="E29" s="41"/>
      <c r="F29" s="10">
        <f t="shared" si="1"/>
        <v>45068</v>
      </c>
      <c r="G29" s="29">
        <v>6</v>
      </c>
      <c r="H29" s="41" t="s">
        <v>12</v>
      </c>
      <c r="I29" s="41" t="s">
        <v>316</v>
      </c>
      <c r="J29" s="10">
        <f t="shared" si="2"/>
        <v>45099</v>
      </c>
      <c r="K29" s="29">
        <v>10</v>
      </c>
      <c r="L29" s="41"/>
      <c r="M29" s="41"/>
      <c r="N29" s="10">
        <f t="shared" si="3"/>
        <v>45129</v>
      </c>
      <c r="O29" s="29"/>
      <c r="P29" s="165" t="s">
        <v>88</v>
      </c>
      <c r="Q29" s="41"/>
      <c r="R29" s="10">
        <f t="shared" si="4"/>
        <v>45160</v>
      </c>
      <c r="S29" s="29" t="s">
        <v>12</v>
      </c>
      <c r="T29" s="41" t="s">
        <v>12</v>
      </c>
      <c r="U29" s="41"/>
      <c r="V29" s="10">
        <f t="shared" si="5"/>
        <v>45191</v>
      </c>
      <c r="W29" s="29">
        <v>15</v>
      </c>
      <c r="X29" s="71" t="s">
        <v>123</v>
      </c>
      <c r="Y29" s="63" t="s">
        <v>317</v>
      </c>
      <c r="Z29" s="113">
        <v>22</v>
      </c>
    </row>
    <row r="30" spans="1:26" ht="100.35" customHeight="1">
      <c r="A30" s="112">
        <v>23</v>
      </c>
      <c r="B30" s="10">
        <f t="shared" si="0"/>
        <v>45039</v>
      </c>
      <c r="C30" s="31" t="s">
        <v>12</v>
      </c>
      <c r="D30" s="41"/>
      <c r="E30" s="41"/>
      <c r="F30" s="10">
        <f t="shared" si="1"/>
        <v>45069</v>
      </c>
      <c r="G30" s="29">
        <v>6</v>
      </c>
      <c r="H30" s="41" t="s">
        <v>12</v>
      </c>
      <c r="I30" s="41"/>
      <c r="J30" s="10">
        <f t="shared" si="2"/>
        <v>45100</v>
      </c>
      <c r="K30" s="29">
        <v>10</v>
      </c>
      <c r="L30" s="41" t="s">
        <v>318</v>
      </c>
      <c r="M30" s="41"/>
      <c r="N30" s="10">
        <f t="shared" si="3"/>
        <v>45130</v>
      </c>
      <c r="O30" s="29" t="s">
        <v>12</v>
      </c>
      <c r="P30" s="42" t="s">
        <v>12</v>
      </c>
      <c r="Q30" s="41"/>
      <c r="R30" s="10">
        <f t="shared" si="4"/>
        <v>45161</v>
      </c>
      <c r="S30" s="29" t="s">
        <v>12</v>
      </c>
      <c r="T30" s="115" t="s">
        <v>319</v>
      </c>
      <c r="U30" s="41"/>
      <c r="V30" s="10">
        <f t="shared" si="5"/>
        <v>45192</v>
      </c>
      <c r="W30" s="38" t="s">
        <v>12</v>
      </c>
      <c r="X30" s="46" t="s">
        <v>320</v>
      </c>
      <c r="Y30" s="68" t="s">
        <v>320</v>
      </c>
      <c r="Z30" s="113">
        <v>23</v>
      </c>
    </row>
    <row r="31" spans="1:26" ht="100.35" customHeight="1">
      <c r="A31" s="112">
        <v>24</v>
      </c>
      <c r="B31" s="10">
        <f t="shared" si="0"/>
        <v>45040</v>
      </c>
      <c r="C31" s="31">
        <v>2</v>
      </c>
      <c r="D31" s="41" t="s">
        <v>12</v>
      </c>
      <c r="E31" s="41" t="s">
        <v>321</v>
      </c>
      <c r="F31" s="10">
        <f t="shared" si="1"/>
        <v>45070</v>
      </c>
      <c r="G31" s="29">
        <v>6</v>
      </c>
      <c r="H31" s="41" t="s">
        <v>79</v>
      </c>
      <c r="I31" s="41"/>
      <c r="J31" s="10">
        <f t="shared" si="2"/>
        <v>45101</v>
      </c>
      <c r="K31" s="29"/>
      <c r="L31" s="41" t="s">
        <v>322</v>
      </c>
      <c r="M31" s="41" t="s">
        <v>323</v>
      </c>
      <c r="N31" s="10">
        <f t="shared" si="3"/>
        <v>45131</v>
      </c>
      <c r="O31" s="29">
        <v>13</v>
      </c>
      <c r="P31" s="41" t="s">
        <v>324</v>
      </c>
      <c r="Q31" s="41" t="s">
        <v>325</v>
      </c>
      <c r="R31" s="10">
        <f t="shared" si="4"/>
        <v>45162</v>
      </c>
      <c r="S31" s="29" t="s">
        <v>12</v>
      </c>
      <c r="T31" s="41" t="s">
        <v>319</v>
      </c>
      <c r="U31" s="41"/>
      <c r="V31" s="10">
        <f t="shared" si="5"/>
        <v>45193</v>
      </c>
      <c r="W31" s="29" t="s">
        <v>12</v>
      </c>
      <c r="X31" s="41"/>
      <c r="Y31" s="41"/>
      <c r="Z31" s="113">
        <v>24</v>
      </c>
    </row>
    <row r="32" spans="1:26" ht="100.35" customHeight="1">
      <c r="A32" s="112">
        <v>25</v>
      </c>
      <c r="B32" s="10">
        <f t="shared" si="0"/>
        <v>45041</v>
      </c>
      <c r="C32" s="31">
        <v>2</v>
      </c>
      <c r="D32" s="41" t="s">
        <v>326</v>
      </c>
      <c r="E32" s="41" t="s">
        <v>326</v>
      </c>
      <c r="F32" s="10">
        <f t="shared" si="1"/>
        <v>45071</v>
      </c>
      <c r="G32" s="29"/>
      <c r="H32" s="183" t="s">
        <v>76</v>
      </c>
      <c r="I32" s="183" t="s">
        <v>76</v>
      </c>
      <c r="J32" s="10">
        <f t="shared" si="2"/>
        <v>45102</v>
      </c>
      <c r="K32" s="29" t="s">
        <v>12</v>
      </c>
      <c r="L32" s="41" t="s">
        <v>12</v>
      </c>
      <c r="M32" s="41"/>
      <c r="N32" s="10">
        <f t="shared" si="3"/>
        <v>45132</v>
      </c>
      <c r="O32" s="29">
        <v>14</v>
      </c>
      <c r="P32" s="42"/>
      <c r="Q32" s="41" t="s">
        <v>327</v>
      </c>
      <c r="R32" s="10">
        <f t="shared" si="4"/>
        <v>45163</v>
      </c>
      <c r="S32" s="29" t="s">
        <v>12</v>
      </c>
      <c r="T32" s="41" t="s">
        <v>319</v>
      </c>
      <c r="U32" s="41"/>
      <c r="V32" s="10">
        <f t="shared" si="5"/>
        <v>45194</v>
      </c>
      <c r="W32" s="29">
        <v>15</v>
      </c>
      <c r="X32" s="71" t="s">
        <v>123</v>
      </c>
      <c r="Y32" s="41"/>
      <c r="Z32" s="113">
        <v>25</v>
      </c>
    </row>
    <row r="33" spans="1:26" ht="100.35" customHeight="1">
      <c r="A33" s="112">
        <v>26</v>
      </c>
      <c r="B33" s="10">
        <f t="shared" si="0"/>
        <v>45042</v>
      </c>
      <c r="C33" s="31">
        <v>3</v>
      </c>
      <c r="D33" s="41" t="s">
        <v>328</v>
      </c>
      <c r="E33" s="41"/>
      <c r="F33" s="10">
        <f t="shared" si="1"/>
        <v>45072</v>
      </c>
      <c r="G33" s="29">
        <v>6</v>
      </c>
      <c r="H33" s="41"/>
      <c r="I33" s="41"/>
      <c r="J33" s="10">
        <f t="shared" si="2"/>
        <v>45103</v>
      </c>
      <c r="K33" s="29">
        <v>10</v>
      </c>
      <c r="L33" s="41" t="s">
        <v>329</v>
      </c>
      <c r="M33" s="41" t="s">
        <v>330</v>
      </c>
      <c r="N33" s="10">
        <f t="shared" si="3"/>
        <v>45133</v>
      </c>
      <c r="O33" s="29"/>
      <c r="P33" s="189" t="s">
        <v>331</v>
      </c>
      <c r="Q33" s="42"/>
      <c r="R33" s="10">
        <f t="shared" si="4"/>
        <v>45164</v>
      </c>
      <c r="S33" s="29" t="s">
        <v>12</v>
      </c>
      <c r="T33" s="41" t="s">
        <v>332</v>
      </c>
      <c r="U33" s="41"/>
      <c r="V33" s="10">
        <f t="shared" si="5"/>
        <v>45195</v>
      </c>
      <c r="W33" s="29"/>
      <c r="X33" s="187" t="s">
        <v>333</v>
      </c>
      <c r="Y33" s="41"/>
      <c r="Z33" s="113">
        <v>26</v>
      </c>
    </row>
    <row r="34" spans="1:26" ht="100.35" customHeight="1">
      <c r="A34" s="112">
        <v>27</v>
      </c>
      <c r="B34" s="10">
        <f t="shared" si="0"/>
        <v>45043</v>
      </c>
      <c r="C34" s="31">
        <v>3</v>
      </c>
      <c r="D34" s="41"/>
      <c r="E34" s="41"/>
      <c r="F34" s="10">
        <f t="shared" si="1"/>
        <v>45073</v>
      </c>
      <c r="G34" s="29"/>
      <c r="H34" s="165" t="s">
        <v>88</v>
      </c>
      <c r="I34" s="41"/>
      <c r="J34" s="10">
        <f t="shared" si="2"/>
        <v>45104</v>
      </c>
      <c r="K34" s="29">
        <v>10</v>
      </c>
      <c r="L34" s="41"/>
      <c r="M34" s="41" t="s">
        <v>334</v>
      </c>
      <c r="N34" s="10">
        <f t="shared" si="3"/>
        <v>45134</v>
      </c>
      <c r="O34" s="29" t="s">
        <v>12</v>
      </c>
      <c r="P34" s="198" t="s">
        <v>335</v>
      </c>
      <c r="Q34" s="42"/>
      <c r="R34" s="10">
        <f t="shared" si="4"/>
        <v>45165</v>
      </c>
      <c r="S34" s="29" t="s">
        <v>12</v>
      </c>
      <c r="T34" s="41"/>
      <c r="U34" s="41"/>
      <c r="V34" s="10">
        <f t="shared" si="5"/>
        <v>45196</v>
      </c>
      <c r="W34" s="29" t="s">
        <v>12</v>
      </c>
      <c r="X34" s="187" t="s">
        <v>336</v>
      </c>
      <c r="Y34" s="41"/>
      <c r="Z34" s="113">
        <v>27</v>
      </c>
    </row>
    <row r="35" spans="1:26" ht="100.35" customHeight="1">
      <c r="A35" s="112">
        <v>28</v>
      </c>
      <c r="B35" s="10">
        <f t="shared" si="0"/>
        <v>45044</v>
      </c>
      <c r="C35" s="31">
        <v>3</v>
      </c>
      <c r="D35" s="41" t="s">
        <v>12</v>
      </c>
      <c r="E35" s="41"/>
      <c r="F35" s="10">
        <f t="shared" si="1"/>
        <v>45074</v>
      </c>
      <c r="G35" s="29" t="s">
        <v>12</v>
      </c>
      <c r="H35" s="41" t="s">
        <v>12</v>
      </c>
      <c r="I35" s="41"/>
      <c r="J35" s="10">
        <f t="shared" si="2"/>
        <v>45105</v>
      </c>
      <c r="K35" s="29">
        <v>11</v>
      </c>
      <c r="L35" s="41" t="s">
        <v>337</v>
      </c>
      <c r="M35" s="41"/>
      <c r="N35" s="10">
        <f t="shared" si="3"/>
        <v>45135</v>
      </c>
      <c r="O35" s="29" t="s">
        <v>12</v>
      </c>
      <c r="P35" s="189" t="s">
        <v>338</v>
      </c>
      <c r="Q35" s="42"/>
      <c r="R35" s="10">
        <f t="shared" si="4"/>
        <v>45166</v>
      </c>
      <c r="S35" s="29" t="s">
        <v>12</v>
      </c>
      <c r="T35" s="41" t="s">
        <v>12</v>
      </c>
      <c r="U35" s="41"/>
      <c r="V35" s="10">
        <f t="shared" si="5"/>
        <v>45197</v>
      </c>
      <c r="W35" s="29" t="s">
        <v>12</v>
      </c>
      <c r="X35" s="187" t="s">
        <v>339</v>
      </c>
      <c r="Y35" s="41"/>
      <c r="Z35" s="113">
        <v>28</v>
      </c>
    </row>
    <row r="36" spans="1:26" ht="154.5" customHeight="1">
      <c r="A36" s="112">
        <v>29</v>
      </c>
      <c r="B36" s="10">
        <f t="shared" si="0"/>
        <v>45045</v>
      </c>
      <c r="C36" s="39" t="s">
        <v>12</v>
      </c>
      <c r="D36" s="46" t="s">
        <v>340</v>
      </c>
      <c r="E36" s="46" t="s">
        <v>340</v>
      </c>
      <c r="F36" s="10">
        <f t="shared" si="1"/>
        <v>45075</v>
      </c>
      <c r="G36" s="29">
        <v>7</v>
      </c>
      <c r="H36" s="41" t="s">
        <v>12</v>
      </c>
      <c r="I36" s="41" t="s">
        <v>172</v>
      </c>
      <c r="J36" s="10">
        <f t="shared" si="2"/>
        <v>45106</v>
      </c>
      <c r="K36" s="29">
        <v>11</v>
      </c>
      <c r="L36" s="41" t="s">
        <v>148</v>
      </c>
      <c r="M36" s="41"/>
      <c r="N36" s="10">
        <f t="shared" si="3"/>
        <v>45136</v>
      </c>
      <c r="O36" s="30"/>
      <c r="P36" s="44"/>
      <c r="Q36" s="64"/>
      <c r="R36" s="10">
        <f t="shared" si="4"/>
        <v>45167</v>
      </c>
      <c r="S36" s="29" t="s">
        <v>12</v>
      </c>
      <c r="T36" s="41"/>
      <c r="U36" s="41"/>
      <c r="V36" s="10">
        <f t="shared" si="5"/>
        <v>45198</v>
      </c>
      <c r="W36" s="29" t="s">
        <v>12</v>
      </c>
      <c r="X36" s="187" t="s">
        <v>341</v>
      </c>
      <c r="Y36" s="69" t="s">
        <v>342</v>
      </c>
      <c r="Z36" s="113">
        <v>29</v>
      </c>
    </row>
    <row r="37" spans="1:26" ht="100.35" customHeight="1">
      <c r="A37" s="112">
        <v>30</v>
      </c>
      <c r="B37" s="10">
        <f t="shared" si="0"/>
        <v>45046</v>
      </c>
      <c r="C37" s="31" t="s">
        <v>12</v>
      </c>
      <c r="D37" s="41" t="s">
        <v>12</v>
      </c>
      <c r="E37" s="41"/>
      <c r="F37" s="10">
        <f t="shared" si="1"/>
        <v>45076</v>
      </c>
      <c r="G37" s="29">
        <v>7</v>
      </c>
      <c r="H37" s="41" t="s">
        <v>12</v>
      </c>
      <c r="I37" s="41"/>
      <c r="J37" s="10">
        <f t="shared" si="2"/>
        <v>45107</v>
      </c>
      <c r="K37" s="29">
        <v>11</v>
      </c>
      <c r="L37" s="60" t="s">
        <v>343</v>
      </c>
      <c r="M37" s="61" t="s">
        <v>344</v>
      </c>
      <c r="N37" s="10">
        <f t="shared" si="3"/>
        <v>45137</v>
      </c>
      <c r="O37" s="29" t="s">
        <v>12</v>
      </c>
      <c r="P37" s="44"/>
      <c r="Q37" s="64"/>
      <c r="R37" s="10">
        <f t="shared" si="4"/>
        <v>45168</v>
      </c>
      <c r="S37" s="29" t="s">
        <v>12</v>
      </c>
      <c r="T37" s="41" t="s">
        <v>12</v>
      </c>
      <c r="U37" s="41"/>
      <c r="V37" s="10">
        <f t="shared" si="5"/>
        <v>45199</v>
      </c>
      <c r="W37" s="29" t="s">
        <v>12</v>
      </c>
      <c r="X37" s="50"/>
      <c r="Y37" s="69"/>
      <c r="Z37" s="113">
        <v>30</v>
      </c>
    </row>
    <row r="38" spans="1:26" ht="100.35" customHeight="1">
      <c r="A38" s="118">
        <v>31</v>
      </c>
      <c r="B38" s="142"/>
      <c r="C38" s="143" t="s">
        <v>12</v>
      </c>
      <c r="D38" s="51" t="s">
        <v>12</v>
      </c>
      <c r="E38" s="51"/>
      <c r="F38" s="10">
        <f t="shared" si="1"/>
        <v>45077</v>
      </c>
      <c r="G38" s="119">
        <v>7</v>
      </c>
      <c r="H38" s="51" t="s">
        <v>345</v>
      </c>
      <c r="I38" s="51"/>
      <c r="J38" s="142"/>
      <c r="K38" s="144" t="s">
        <v>12</v>
      </c>
      <c r="L38" s="51" t="s">
        <v>12</v>
      </c>
      <c r="M38" s="51"/>
      <c r="N38" s="10">
        <f t="shared" si="3"/>
        <v>45138</v>
      </c>
      <c r="O38" s="119">
        <v>14</v>
      </c>
      <c r="P38" s="41"/>
      <c r="Q38" s="163" t="s">
        <v>346</v>
      </c>
      <c r="R38" s="10">
        <f t="shared" si="4"/>
        <v>45169</v>
      </c>
      <c r="S38" s="119" t="s">
        <v>12</v>
      </c>
      <c r="T38" s="51" t="s">
        <v>12</v>
      </c>
      <c r="U38" s="51"/>
      <c r="V38" s="142"/>
      <c r="W38" s="144" t="s">
        <v>12</v>
      </c>
      <c r="X38" s="51" t="s">
        <v>12</v>
      </c>
      <c r="Y38" s="51"/>
      <c r="Z38" s="123">
        <v>31</v>
      </c>
    </row>
  </sheetData>
  <mergeCells count="11">
    <mergeCell ref="V6:X6"/>
    <mergeCell ref="H1:J1"/>
    <mergeCell ref="K1:T1"/>
    <mergeCell ref="U1:Y1"/>
    <mergeCell ref="D4:E4"/>
    <mergeCell ref="H4:I4"/>
    <mergeCell ref="B6:D6"/>
    <mergeCell ref="F6:H6"/>
    <mergeCell ref="J6:L6"/>
    <mergeCell ref="N6:P6"/>
    <mergeCell ref="R6:T6"/>
  </mergeCells>
  <phoneticPr fontId="19"/>
  <conditionalFormatting sqref="C8:C35">
    <cfRule type="expression" dxfId="77" priority="24">
      <formula>WEEKDAY(B8)&lt;&gt;7</formula>
    </cfRule>
    <cfRule type="expression" dxfId="76" priority="22">
      <formula>WEEKDAY(B8)=1</formula>
    </cfRule>
    <cfRule type="expression" dxfId="75" priority="23">
      <formula>WEEKDAY(B8)=7</formula>
    </cfRule>
    <cfRule type="expression" dxfId="74" priority="21">
      <formula>C8&lt;&gt;#REF!</formula>
    </cfRule>
  </conditionalFormatting>
  <conditionalFormatting sqref="C37">
    <cfRule type="expression" dxfId="73" priority="49">
      <formula>WEEKDAY(B37)&lt;&gt;7</formula>
    </cfRule>
    <cfRule type="expression" dxfId="72" priority="48">
      <formula>WEEKDAY(B37)=7</formula>
    </cfRule>
    <cfRule type="expression" dxfId="71" priority="47">
      <formula>WEEKDAY(B37)=1</formula>
    </cfRule>
    <cfRule type="expression" dxfId="70" priority="46">
      <formula>C37&lt;&gt;#REF!</formula>
    </cfRule>
  </conditionalFormatting>
  <conditionalFormatting sqref="G8:G9">
    <cfRule type="expression" dxfId="69" priority="43">
      <formula>WEEKDAY(F8)=1</formula>
    </cfRule>
    <cfRule type="expression" dxfId="68" priority="42">
      <formula>G8&lt;&gt;#REF!</formula>
    </cfRule>
    <cfRule type="expression" dxfId="67" priority="44">
      <formula>WEEKDAY(F8)=7</formula>
    </cfRule>
    <cfRule type="expression" dxfId="66" priority="45">
      <formula>WEEKDAY(F8)&lt;&gt;7</formula>
    </cfRule>
  </conditionalFormatting>
  <conditionalFormatting sqref="G13:G38">
    <cfRule type="expression" dxfId="65" priority="19">
      <formula>WEEKDAY(F13)=7</formula>
    </cfRule>
    <cfRule type="expression" dxfId="64" priority="20">
      <formula>WEEKDAY(F13)&lt;&gt;7</formula>
    </cfRule>
    <cfRule type="expression" dxfId="63" priority="18">
      <formula>WEEKDAY(F13)=1</formula>
    </cfRule>
    <cfRule type="expression" dxfId="62" priority="17">
      <formula>G13&lt;&gt;#REF!</formula>
    </cfRule>
  </conditionalFormatting>
  <conditionalFormatting sqref="K8:K37">
    <cfRule type="expression" dxfId="61" priority="16">
      <formula>WEEKDAY(J8)&lt;&gt;7</formula>
    </cfRule>
    <cfRule type="expression" dxfId="60" priority="15">
      <formula>WEEKDAY(J8)=7</formula>
    </cfRule>
    <cfRule type="expression" dxfId="59" priority="14">
      <formula>WEEKDAY(J8)=1</formula>
    </cfRule>
    <cfRule type="expression" dxfId="58" priority="13">
      <formula>K8&lt;&gt;#REF!</formula>
    </cfRule>
  </conditionalFormatting>
  <conditionalFormatting sqref="O8:O23">
    <cfRule type="expression" dxfId="57" priority="11">
      <formula>WEEKDAY(N8)=7</formula>
    </cfRule>
    <cfRule type="expression" dxfId="56" priority="12">
      <formula>WEEKDAY(N8)&lt;&gt;7</formula>
    </cfRule>
    <cfRule type="expression" dxfId="55" priority="10">
      <formula>WEEKDAY(N8)=1</formula>
    </cfRule>
    <cfRule type="expression" dxfId="54" priority="9">
      <formula>O8&lt;&gt;#REF!</formula>
    </cfRule>
  </conditionalFormatting>
  <conditionalFormatting sqref="O25:O38">
    <cfRule type="expression" dxfId="53" priority="34">
      <formula>O25&lt;&gt;#REF!</formula>
    </cfRule>
    <cfRule type="expression" dxfId="52" priority="36">
      <formula>WEEKDAY(N25)=7</formula>
    </cfRule>
    <cfRule type="expression" dxfId="51" priority="37">
      <formula>WEEKDAY(N25)&lt;&gt;7</formula>
    </cfRule>
    <cfRule type="expression" dxfId="50" priority="35">
      <formula>WEEKDAY(N25)=1</formula>
    </cfRule>
  </conditionalFormatting>
  <conditionalFormatting sqref="S8:S17">
    <cfRule type="expression" dxfId="49" priority="30">
      <formula>S8&lt;&gt;#REF!</formula>
    </cfRule>
    <cfRule type="expression" dxfId="48" priority="31">
      <formula>WEEKDAY(R8)=1</formula>
    </cfRule>
    <cfRule type="expression" dxfId="47" priority="32">
      <formula>WEEKDAY(R8)=7</formula>
    </cfRule>
    <cfRule type="expression" dxfId="46" priority="33">
      <formula>WEEKDAY(R8)&lt;&gt;7</formula>
    </cfRule>
  </conditionalFormatting>
  <conditionalFormatting sqref="S19:S38">
    <cfRule type="expression" dxfId="45" priority="5">
      <formula>S19&lt;&gt;#REF!</formula>
    </cfRule>
    <cfRule type="expression" dxfId="44" priority="7">
      <formula>WEEKDAY(R19)=7</formula>
    </cfRule>
    <cfRule type="expression" dxfId="43" priority="8">
      <formula>WEEKDAY(R19)&lt;&gt;7</formula>
    </cfRule>
    <cfRule type="expression" dxfId="42" priority="6">
      <formula>WEEKDAY(R19)=1</formula>
    </cfRule>
  </conditionalFormatting>
  <conditionalFormatting sqref="T22:U22">
    <cfRule type="expression" dxfId="41" priority="25">
      <formula>T22&lt;&gt;#REF!</formula>
    </cfRule>
  </conditionalFormatting>
  <conditionalFormatting sqref="W8:W24">
    <cfRule type="expression" dxfId="40" priority="2">
      <formula>WEEKDAY(V8)=1</formula>
    </cfRule>
    <cfRule type="expression" dxfId="39" priority="3">
      <formula>WEEKDAY(V8)=7</formula>
    </cfRule>
    <cfRule type="expression" dxfId="38" priority="4">
      <formula>WEEKDAY(V8)&lt;&gt;7</formula>
    </cfRule>
    <cfRule type="expression" dxfId="37" priority="1">
      <formula>W8&lt;&gt;#REF!</formula>
    </cfRule>
  </conditionalFormatting>
  <conditionalFormatting sqref="W26:W29 W31:W37">
    <cfRule type="expression" dxfId="36" priority="26">
      <formula>W26&lt;&gt;#REF!</formula>
    </cfRule>
    <cfRule type="expression" dxfId="35" priority="27">
      <formula>WEEKDAY(V26)=1</formula>
    </cfRule>
    <cfRule type="expression" dxfId="34" priority="28">
      <formula>WEEKDAY(V26)=7</formula>
    </cfRule>
    <cfRule type="expression" dxfId="33" priority="29">
      <formula>WEEKDAY(V26)&lt;&gt;7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21" orientation="landscape" r:id="rId1"/>
  <headerFooter scaleWithDoc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39"/>
  <sheetViews>
    <sheetView topLeftCell="A14" zoomScale="30" zoomScaleNormal="30" workbookViewId="0">
      <selection activeCell="L35" sqref="L35"/>
    </sheetView>
  </sheetViews>
  <sheetFormatPr defaultColWidth="8.875" defaultRowHeight="20.25" customHeight="1"/>
  <cols>
    <col min="1" max="1" width="7.875" customWidth="1"/>
    <col min="2" max="2" width="6.625" bestFit="1" customWidth="1"/>
    <col min="3" max="3" width="7.625" customWidth="1"/>
    <col min="4" max="5" width="35.625" customWidth="1"/>
    <col min="6" max="6" width="6.625" bestFit="1" customWidth="1"/>
    <col min="7" max="7" width="7.625" customWidth="1"/>
    <col min="8" max="9" width="35.625" customWidth="1"/>
    <col min="10" max="10" width="6.625" bestFit="1" customWidth="1"/>
    <col min="11" max="11" width="7.625" customWidth="1"/>
    <col min="12" max="13" width="35.625" customWidth="1"/>
    <col min="14" max="14" width="6.625" bestFit="1" customWidth="1"/>
    <col min="15" max="15" width="7.625" customWidth="1"/>
    <col min="16" max="17" width="35.625" customWidth="1"/>
    <col min="18" max="18" width="11.125" bestFit="1" customWidth="1"/>
    <col min="19" max="19" width="7.625" customWidth="1"/>
    <col min="20" max="21" width="35.625" customWidth="1"/>
    <col min="22" max="22" width="6.625" bestFit="1" customWidth="1"/>
    <col min="23" max="23" width="7.625" customWidth="1"/>
    <col min="24" max="25" width="35.625" customWidth="1"/>
    <col min="26" max="26" width="7.625" customWidth="1"/>
  </cols>
  <sheetData>
    <row r="1" spans="1:27" ht="59.25" customHeight="1">
      <c r="A1" s="1"/>
      <c r="B1" s="2"/>
      <c r="C1" s="2"/>
      <c r="D1" s="3" t="s">
        <v>0</v>
      </c>
      <c r="E1" s="188">
        <f ca="1">TODAY()</f>
        <v>46064</v>
      </c>
      <c r="F1" s="4"/>
      <c r="G1" s="4"/>
      <c r="H1" s="388">
        <v>2023</v>
      </c>
      <c r="I1" s="387"/>
      <c r="J1" s="387"/>
      <c r="K1" s="389" t="s">
        <v>109</v>
      </c>
      <c r="L1" s="389"/>
      <c r="M1" s="389"/>
      <c r="N1" s="389"/>
      <c r="O1" s="389"/>
      <c r="P1" s="389"/>
      <c r="Q1" s="389"/>
      <c r="R1" s="389"/>
      <c r="S1" s="389"/>
      <c r="T1" s="389"/>
      <c r="U1" s="385" t="s">
        <v>2</v>
      </c>
      <c r="V1" s="385"/>
      <c r="W1" s="385"/>
      <c r="X1" s="385"/>
      <c r="Y1" s="385"/>
      <c r="Z1" s="32"/>
      <c r="AA1" s="32"/>
    </row>
    <row r="2" spans="1:27" ht="30" customHeight="1">
      <c r="A2" s="5"/>
      <c r="B2" s="5"/>
      <c r="C2" s="5"/>
      <c r="D2" s="190" t="s">
        <v>230</v>
      </c>
      <c r="E2" s="6"/>
      <c r="F2" s="5"/>
      <c r="G2" s="5"/>
      <c r="H2" s="6"/>
      <c r="I2" s="4"/>
      <c r="J2" s="5"/>
      <c r="K2" s="5"/>
      <c r="L2" s="6"/>
      <c r="M2" s="6"/>
      <c r="N2" s="5"/>
      <c r="O2" s="5"/>
      <c r="P2" s="6"/>
      <c r="Q2" s="6"/>
      <c r="R2" s="5"/>
      <c r="S2" s="5"/>
      <c r="T2" s="6"/>
      <c r="U2" s="6"/>
      <c r="V2" s="5"/>
      <c r="W2" s="5"/>
      <c r="X2" s="7" t="s">
        <v>231</v>
      </c>
      <c r="Y2" s="186" t="s">
        <v>232</v>
      </c>
      <c r="Z2" s="8"/>
    </row>
    <row r="3" spans="1:27" ht="30" customHeight="1">
      <c r="A3" s="5"/>
      <c r="B3" s="5"/>
      <c r="C3" s="5"/>
      <c r="D3" s="6"/>
      <c r="E3" s="6"/>
      <c r="F3" s="5"/>
      <c r="G3" s="5"/>
      <c r="H3" s="6"/>
      <c r="I3" s="6"/>
      <c r="J3" s="5"/>
      <c r="K3" s="5"/>
      <c r="L3" s="6"/>
      <c r="M3" s="6"/>
      <c r="N3" s="5"/>
      <c r="O3" s="5"/>
      <c r="P3" s="6"/>
      <c r="Q3" s="6"/>
      <c r="R3" s="5"/>
      <c r="S3" s="5"/>
      <c r="T3" s="6"/>
      <c r="U3" s="6"/>
      <c r="V3" s="5"/>
      <c r="W3" s="5"/>
      <c r="X3" s="7" t="s">
        <v>233</v>
      </c>
      <c r="Y3" s="194" t="s">
        <v>234</v>
      </c>
      <c r="Z3" s="8"/>
    </row>
    <row r="4" spans="1:27" ht="30" customHeight="1">
      <c r="A4" s="5"/>
      <c r="B4" s="5"/>
      <c r="C4" s="5"/>
      <c r="D4" s="386"/>
      <c r="E4" s="387"/>
      <c r="F4" s="5"/>
      <c r="G4" s="5"/>
      <c r="H4" s="391"/>
      <c r="I4" s="387"/>
      <c r="J4" s="5"/>
      <c r="K4" s="5"/>
      <c r="L4" s="6"/>
      <c r="M4" s="6"/>
      <c r="N4" s="5"/>
      <c r="O4" s="5"/>
      <c r="P4" s="6"/>
      <c r="Q4" s="6"/>
      <c r="R4" s="5"/>
      <c r="S4" s="5"/>
      <c r="T4" s="6"/>
      <c r="U4" s="6"/>
      <c r="V4" s="5"/>
      <c r="W4" s="5"/>
      <c r="X4" s="185" t="s">
        <v>8</v>
      </c>
      <c r="Y4" s="194" t="s">
        <v>235</v>
      </c>
      <c r="Z4" s="8"/>
    </row>
    <row r="5" spans="1:27" ht="20.25" customHeight="1">
      <c r="A5" s="5"/>
      <c r="B5" s="5"/>
      <c r="C5" s="5"/>
      <c r="D5" s="6"/>
      <c r="E5" s="6"/>
      <c r="F5" s="5"/>
      <c r="G5" s="5"/>
      <c r="H5" s="6"/>
      <c r="I5" s="6"/>
      <c r="J5" s="5"/>
      <c r="K5" s="5"/>
      <c r="L5" s="6"/>
      <c r="M5" s="6"/>
      <c r="N5" s="5"/>
      <c r="O5" s="5"/>
      <c r="P5" s="6"/>
      <c r="Q5" s="6"/>
      <c r="R5" s="5"/>
      <c r="S5" s="5"/>
      <c r="T5" s="6"/>
      <c r="U5" s="6"/>
      <c r="V5" s="5"/>
      <c r="W5" s="5"/>
      <c r="X5" s="6"/>
      <c r="Y5" s="6"/>
      <c r="Z5" s="5"/>
    </row>
    <row r="6" spans="1:27" ht="44.25">
      <c r="A6" s="107"/>
      <c r="B6" s="378">
        <v>10</v>
      </c>
      <c r="C6" s="379"/>
      <c r="D6" s="380"/>
      <c r="E6" s="108" t="s">
        <v>9</v>
      </c>
      <c r="F6" s="378">
        <v>11</v>
      </c>
      <c r="G6" s="379"/>
      <c r="H6" s="380"/>
      <c r="I6" s="108" t="s">
        <v>9</v>
      </c>
      <c r="J6" s="378">
        <v>12</v>
      </c>
      <c r="K6" s="379"/>
      <c r="L6" s="380"/>
      <c r="M6" s="108" t="s">
        <v>9</v>
      </c>
      <c r="N6" s="378">
        <v>1</v>
      </c>
      <c r="O6" s="379"/>
      <c r="P6" s="380"/>
      <c r="Q6" s="108" t="s">
        <v>9</v>
      </c>
      <c r="R6" s="378">
        <v>2</v>
      </c>
      <c r="S6" s="379"/>
      <c r="T6" s="380"/>
      <c r="U6" s="108" t="s">
        <v>9</v>
      </c>
      <c r="V6" s="378">
        <v>3</v>
      </c>
      <c r="W6" s="379"/>
      <c r="X6" s="380"/>
      <c r="Y6" s="108" t="s">
        <v>9</v>
      </c>
      <c r="Z6" s="109"/>
    </row>
    <row r="7" spans="1:27" ht="44.25">
      <c r="A7" s="110"/>
      <c r="B7" s="9"/>
      <c r="C7" s="9"/>
      <c r="D7" s="9" t="s">
        <v>10</v>
      </c>
      <c r="E7" s="9" t="s">
        <v>236</v>
      </c>
      <c r="F7" s="9"/>
      <c r="G7" s="9"/>
      <c r="H7" s="9" t="s">
        <v>10</v>
      </c>
      <c r="I7" s="9" t="s">
        <v>236</v>
      </c>
      <c r="J7" s="9"/>
      <c r="K7" s="9"/>
      <c r="L7" s="9" t="s">
        <v>10</v>
      </c>
      <c r="M7" s="9" t="s">
        <v>236</v>
      </c>
      <c r="N7" s="9"/>
      <c r="O7" s="9"/>
      <c r="P7" s="9" t="s">
        <v>10</v>
      </c>
      <c r="Q7" s="9" t="s">
        <v>236</v>
      </c>
      <c r="R7" s="9"/>
      <c r="S7" s="9"/>
      <c r="T7" s="9" t="s">
        <v>10</v>
      </c>
      <c r="U7" s="9" t="s">
        <v>236</v>
      </c>
      <c r="V7" s="9"/>
      <c r="W7" s="9"/>
      <c r="X7" s="9" t="s">
        <v>10</v>
      </c>
      <c r="Y7" s="9" t="s">
        <v>236</v>
      </c>
      <c r="Z7" s="111"/>
    </row>
    <row r="8" spans="1:27" ht="132" customHeight="1">
      <c r="A8" s="112">
        <v>1</v>
      </c>
      <c r="B8" s="10">
        <f>DATE($H$1,$B$6,$A8)</f>
        <v>45200</v>
      </c>
      <c r="C8" s="29"/>
      <c r="D8" s="41" t="s">
        <v>347</v>
      </c>
      <c r="E8" s="41" t="s">
        <v>347</v>
      </c>
      <c r="F8" s="10">
        <f>DATE($H$1,$F$6,$A8)</f>
        <v>45231</v>
      </c>
      <c r="G8" s="29">
        <v>5</v>
      </c>
      <c r="H8" s="189" t="s">
        <v>348</v>
      </c>
      <c r="I8" s="41"/>
      <c r="J8" s="10">
        <f>DATE($H$1,$J$6,$A8)</f>
        <v>45261</v>
      </c>
      <c r="K8" s="29">
        <v>8</v>
      </c>
      <c r="L8" s="41" t="s">
        <v>186</v>
      </c>
      <c r="M8" s="41"/>
      <c r="N8" s="10">
        <f>DATE($H$1+1,$N$6,$A8)</f>
        <v>45292</v>
      </c>
      <c r="O8" s="38"/>
      <c r="P8" s="46" t="s">
        <v>349</v>
      </c>
      <c r="Q8" s="46" t="s">
        <v>349</v>
      </c>
      <c r="R8" s="10">
        <f>DATE($H$1+1,$R$6,$A8)</f>
        <v>45323</v>
      </c>
      <c r="S8" s="29">
        <v>14</v>
      </c>
      <c r="T8" s="41"/>
      <c r="U8" s="41"/>
      <c r="V8" s="11">
        <f>DATE($H$1+1,$V$6,$A8)</f>
        <v>45352</v>
      </c>
      <c r="W8" s="29" t="s">
        <v>12</v>
      </c>
      <c r="X8" s="46" t="s">
        <v>350</v>
      </c>
      <c r="Y8" s="53"/>
      <c r="Z8" s="113">
        <v>1</v>
      </c>
    </row>
    <row r="9" spans="1:27" ht="100.35" customHeight="1">
      <c r="A9" s="112">
        <v>2</v>
      </c>
      <c r="B9" s="10">
        <f t="shared" ref="B9:B38" si="0">DATE($H$1,$B$6,$A9)</f>
        <v>45201</v>
      </c>
      <c r="C9" s="29">
        <v>1</v>
      </c>
      <c r="D9" s="41" t="s">
        <v>12</v>
      </c>
      <c r="E9" s="41"/>
      <c r="F9" s="10">
        <f t="shared" ref="F9:F37" si="1">DATE($H$1,$F$6,$A9)</f>
        <v>45232</v>
      </c>
      <c r="G9" s="29">
        <v>5</v>
      </c>
      <c r="H9" s="189" t="s">
        <v>351</v>
      </c>
      <c r="I9" s="41" t="s">
        <v>352</v>
      </c>
      <c r="J9" s="10">
        <f t="shared" ref="J9:J38" si="2">DATE($H$1,$J$6,$A9)</f>
        <v>45262</v>
      </c>
      <c r="K9" s="29"/>
      <c r="L9" s="41"/>
      <c r="M9" s="41"/>
      <c r="N9" s="10">
        <f t="shared" ref="N9:N38" si="3">DATE($H$1+1,$N$6,$A9)</f>
        <v>45293</v>
      </c>
      <c r="O9" s="29" t="s">
        <v>12</v>
      </c>
      <c r="P9" s="46" t="s">
        <v>353</v>
      </c>
      <c r="Q9" s="46" t="s">
        <v>353</v>
      </c>
      <c r="R9" s="10">
        <f t="shared" ref="R9:R36" si="4">DATE($H$1+1,$R$6,$A9)</f>
        <v>45324</v>
      </c>
      <c r="S9" s="29">
        <v>14</v>
      </c>
      <c r="T9" s="50"/>
      <c r="U9" s="42"/>
      <c r="V9" s="11">
        <f t="shared" ref="V9:V38" si="5">DATE($H$1+1,$V$6,$A9)</f>
        <v>45353</v>
      </c>
      <c r="W9" s="29" t="s">
        <v>12</v>
      </c>
      <c r="X9" s="46"/>
      <c r="Y9" s="53"/>
      <c r="Z9" s="113">
        <v>2</v>
      </c>
    </row>
    <row r="10" spans="1:27" ht="100.35" customHeight="1">
      <c r="A10" s="112">
        <v>3</v>
      </c>
      <c r="B10" s="10">
        <f t="shared" si="0"/>
        <v>45202</v>
      </c>
      <c r="C10" s="29">
        <v>1</v>
      </c>
      <c r="D10" s="41" t="s">
        <v>12</v>
      </c>
      <c r="E10" s="196" t="s">
        <v>354</v>
      </c>
      <c r="F10" s="10">
        <f t="shared" si="1"/>
        <v>45233</v>
      </c>
      <c r="G10" s="38"/>
      <c r="H10" s="41" t="s">
        <v>355</v>
      </c>
      <c r="I10" s="41" t="s">
        <v>356</v>
      </c>
      <c r="J10" s="10">
        <f t="shared" si="2"/>
        <v>45263</v>
      </c>
      <c r="K10" s="29" t="s">
        <v>12</v>
      </c>
      <c r="L10" s="41" t="s">
        <v>12</v>
      </c>
      <c r="M10" s="41"/>
      <c r="N10" s="10">
        <f t="shared" si="3"/>
        <v>45294</v>
      </c>
      <c r="O10" s="29" t="s">
        <v>12</v>
      </c>
      <c r="P10" s="46" t="s">
        <v>357</v>
      </c>
      <c r="Q10" s="46" t="s">
        <v>203</v>
      </c>
      <c r="R10" s="10">
        <f t="shared" si="4"/>
        <v>45325</v>
      </c>
      <c r="S10" s="29"/>
      <c r="T10" s="178" t="s">
        <v>358</v>
      </c>
      <c r="U10" s="41"/>
      <c r="V10" s="11">
        <f t="shared" si="5"/>
        <v>45354</v>
      </c>
      <c r="W10" s="29" t="s">
        <v>12</v>
      </c>
      <c r="X10" s="41"/>
      <c r="Y10" s="54"/>
      <c r="Z10" s="113">
        <v>3</v>
      </c>
    </row>
    <row r="11" spans="1:27" ht="100.35" customHeight="1">
      <c r="A11" s="112">
        <v>4</v>
      </c>
      <c r="B11" s="10">
        <f t="shared" si="0"/>
        <v>45203</v>
      </c>
      <c r="C11" s="29">
        <v>1</v>
      </c>
      <c r="D11" s="227" t="s">
        <v>348</v>
      </c>
      <c r="E11" s="195"/>
      <c r="F11" s="11">
        <f t="shared" si="1"/>
        <v>45234</v>
      </c>
      <c r="G11" s="29" t="s">
        <v>12</v>
      </c>
      <c r="H11" s="41" t="s">
        <v>359</v>
      </c>
      <c r="I11" s="41" t="s">
        <v>359</v>
      </c>
      <c r="J11" s="10">
        <f t="shared" si="2"/>
        <v>45264</v>
      </c>
      <c r="K11" s="29">
        <v>8</v>
      </c>
      <c r="L11" s="41" t="s">
        <v>360</v>
      </c>
      <c r="M11" s="41"/>
      <c r="N11" s="10">
        <f t="shared" si="3"/>
        <v>45295</v>
      </c>
      <c r="O11" s="29" t="s">
        <v>12</v>
      </c>
      <c r="P11" s="41"/>
      <c r="Q11" s="41"/>
      <c r="R11" s="10">
        <f t="shared" si="4"/>
        <v>45326</v>
      </c>
      <c r="S11" s="29" t="s">
        <v>12</v>
      </c>
      <c r="T11" s="41" t="s">
        <v>12</v>
      </c>
      <c r="U11" s="41"/>
      <c r="V11" s="11">
        <f t="shared" si="5"/>
        <v>45355</v>
      </c>
      <c r="W11" s="29" t="s">
        <v>12</v>
      </c>
      <c r="X11" s="46" t="s">
        <v>361</v>
      </c>
      <c r="Y11" s="54" t="s">
        <v>362</v>
      </c>
      <c r="Z11" s="113">
        <v>4</v>
      </c>
    </row>
    <row r="12" spans="1:27" ht="100.35" customHeight="1">
      <c r="A12" s="112">
        <v>5</v>
      </c>
      <c r="B12" s="10">
        <f t="shared" si="0"/>
        <v>45204</v>
      </c>
      <c r="C12" s="29">
        <v>1</v>
      </c>
      <c r="D12" s="42" t="s">
        <v>363</v>
      </c>
      <c r="E12" s="70"/>
      <c r="F12" s="10">
        <f t="shared" si="1"/>
        <v>45235</v>
      </c>
      <c r="G12" s="29" t="s">
        <v>12</v>
      </c>
      <c r="H12" s="41" t="s">
        <v>359</v>
      </c>
      <c r="I12" s="41" t="s">
        <v>359</v>
      </c>
      <c r="J12" s="10">
        <f t="shared" si="2"/>
        <v>45265</v>
      </c>
      <c r="K12" s="29">
        <v>8</v>
      </c>
      <c r="L12" s="41" t="s">
        <v>364</v>
      </c>
      <c r="M12" s="41"/>
      <c r="N12" s="10">
        <f t="shared" si="3"/>
        <v>45296</v>
      </c>
      <c r="O12" s="29" t="s">
        <v>12</v>
      </c>
      <c r="P12" s="41"/>
      <c r="Q12" s="41"/>
      <c r="R12" s="10">
        <f t="shared" si="4"/>
        <v>45327</v>
      </c>
      <c r="S12" s="29"/>
      <c r="T12" s="172" t="s">
        <v>365</v>
      </c>
      <c r="U12" s="164" t="s">
        <v>366</v>
      </c>
      <c r="V12" s="11">
        <f t="shared" si="5"/>
        <v>45356</v>
      </c>
      <c r="W12" s="29" t="s">
        <v>12</v>
      </c>
      <c r="X12" s="41" t="s">
        <v>367</v>
      </c>
      <c r="Y12" s="54"/>
      <c r="Z12" s="113">
        <v>5</v>
      </c>
    </row>
    <row r="13" spans="1:27" ht="100.35" customHeight="1">
      <c r="A13" s="112">
        <v>6</v>
      </c>
      <c r="B13" s="10">
        <f t="shared" si="0"/>
        <v>45205</v>
      </c>
      <c r="C13" s="29">
        <v>1</v>
      </c>
      <c r="D13" s="42"/>
      <c r="E13" s="41"/>
      <c r="F13" s="10">
        <f t="shared" si="1"/>
        <v>45236</v>
      </c>
      <c r="G13" s="159" t="s">
        <v>368</v>
      </c>
      <c r="H13" s="42" t="s">
        <v>369</v>
      </c>
      <c r="I13" s="42" t="s">
        <v>369</v>
      </c>
      <c r="J13" s="10">
        <f t="shared" si="2"/>
        <v>45266</v>
      </c>
      <c r="K13" s="29">
        <v>8</v>
      </c>
      <c r="L13" s="41" t="s">
        <v>370</v>
      </c>
      <c r="M13" s="41"/>
      <c r="N13" s="10">
        <f t="shared" si="3"/>
        <v>45297</v>
      </c>
      <c r="O13" s="29" t="s">
        <v>12</v>
      </c>
      <c r="P13" s="41"/>
      <c r="Q13" s="41"/>
      <c r="R13" s="10">
        <f t="shared" si="4"/>
        <v>45328</v>
      </c>
      <c r="S13" s="29"/>
      <c r="T13" s="172" t="s">
        <v>365</v>
      </c>
      <c r="U13" s="164" t="s">
        <v>250</v>
      </c>
      <c r="V13" s="11">
        <f t="shared" si="5"/>
        <v>45357</v>
      </c>
      <c r="W13" s="29" t="s">
        <v>12</v>
      </c>
      <c r="X13" s="41" t="s">
        <v>277</v>
      </c>
      <c r="Y13" s="41"/>
      <c r="Z13" s="113">
        <v>6</v>
      </c>
    </row>
    <row r="14" spans="1:27" ht="100.35" customHeight="1">
      <c r="A14" s="112">
        <v>7</v>
      </c>
      <c r="B14" s="10">
        <f t="shared" si="0"/>
        <v>45206</v>
      </c>
      <c r="C14" s="29"/>
      <c r="D14" s="42"/>
      <c r="E14" s="42"/>
      <c r="F14" s="10">
        <f t="shared" si="1"/>
        <v>45237</v>
      </c>
      <c r="G14" s="30"/>
      <c r="H14" s="42" t="s">
        <v>139</v>
      </c>
      <c r="I14" s="42" t="s">
        <v>371</v>
      </c>
      <c r="J14" s="10">
        <f t="shared" si="2"/>
        <v>45267</v>
      </c>
      <c r="K14" s="133" t="s">
        <v>12</v>
      </c>
      <c r="L14" s="55" t="s">
        <v>372</v>
      </c>
      <c r="M14" s="55" t="s">
        <v>372</v>
      </c>
      <c r="N14" s="10">
        <f t="shared" si="3"/>
        <v>45298</v>
      </c>
      <c r="O14" s="29" t="s">
        <v>12</v>
      </c>
      <c r="P14" s="45" t="s">
        <v>12</v>
      </c>
      <c r="Q14" s="45"/>
      <c r="R14" s="10">
        <f t="shared" si="4"/>
        <v>45329</v>
      </c>
      <c r="S14" s="29" t="s">
        <v>12</v>
      </c>
      <c r="T14" s="46" t="s">
        <v>373</v>
      </c>
      <c r="U14" s="164" t="s">
        <v>245</v>
      </c>
      <c r="V14" s="11">
        <f t="shared" si="5"/>
        <v>45358</v>
      </c>
      <c r="W14" s="29" t="s">
        <v>12</v>
      </c>
      <c r="X14" s="41" t="s">
        <v>19</v>
      </c>
      <c r="Y14" s="193" t="s">
        <v>374</v>
      </c>
      <c r="Z14" s="113">
        <v>7</v>
      </c>
    </row>
    <row r="15" spans="1:27" ht="100.35" customHeight="1" thickBot="1">
      <c r="A15" s="112">
        <v>8</v>
      </c>
      <c r="B15" s="10">
        <f t="shared" si="0"/>
        <v>45207</v>
      </c>
      <c r="C15" s="29" t="s">
        <v>12</v>
      </c>
      <c r="D15" s="41" t="s">
        <v>375</v>
      </c>
      <c r="E15" s="41" t="s">
        <v>375</v>
      </c>
      <c r="F15" s="10">
        <f t="shared" si="1"/>
        <v>45238</v>
      </c>
      <c r="G15" s="29" t="s">
        <v>12</v>
      </c>
      <c r="H15" s="41" t="s">
        <v>139</v>
      </c>
      <c r="I15" s="41" t="s">
        <v>371</v>
      </c>
      <c r="J15" s="10">
        <f t="shared" si="2"/>
        <v>45268</v>
      </c>
      <c r="K15" s="29">
        <v>9</v>
      </c>
      <c r="L15" s="41"/>
      <c r="M15" s="41"/>
      <c r="N15" s="10">
        <f t="shared" si="3"/>
        <v>45299</v>
      </c>
      <c r="O15" s="169" t="s">
        <v>12</v>
      </c>
      <c r="P15" s="208" t="s">
        <v>376</v>
      </c>
      <c r="Q15" s="208" t="s">
        <v>376</v>
      </c>
      <c r="R15" s="11">
        <f t="shared" si="4"/>
        <v>45330</v>
      </c>
      <c r="S15" s="29" t="s">
        <v>12</v>
      </c>
      <c r="T15" s="41" t="s">
        <v>377</v>
      </c>
      <c r="U15" s="52" t="s">
        <v>378</v>
      </c>
      <c r="V15" s="11">
        <f t="shared" si="5"/>
        <v>45359</v>
      </c>
      <c r="W15" s="29" t="s">
        <v>12</v>
      </c>
      <c r="X15" s="41" t="s">
        <v>379</v>
      </c>
      <c r="Y15" s="54"/>
      <c r="Z15" s="113">
        <v>8</v>
      </c>
    </row>
    <row r="16" spans="1:27" ht="100.35" customHeight="1" thickTop="1">
      <c r="A16" s="112">
        <v>9</v>
      </c>
      <c r="B16" s="10">
        <f t="shared" si="0"/>
        <v>45208</v>
      </c>
      <c r="C16" s="125" t="s">
        <v>12</v>
      </c>
      <c r="D16" s="126" t="s">
        <v>380</v>
      </c>
      <c r="E16" s="126" t="s">
        <v>380</v>
      </c>
      <c r="F16" s="10">
        <f t="shared" si="1"/>
        <v>45239</v>
      </c>
      <c r="G16" s="29">
        <v>6</v>
      </c>
      <c r="H16" s="41"/>
      <c r="I16" s="41"/>
      <c r="J16" s="10">
        <f t="shared" si="2"/>
        <v>45269</v>
      </c>
      <c r="K16" s="29"/>
      <c r="L16" s="45" t="s">
        <v>381</v>
      </c>
      <c r="M16" s="45" t="s">
        <v>381</v>
      </c>
      <c r="N16" s="10">
        <f t="shared" si="3"/>
        <v>45300</v>
      </c>
      <c r="O16" s="155">
        <v>11</v>
      </c>
      <c r="P16" s="75" t="s">
        <v>382</v>
      </c>
      <c r="Q16" s="75" t="s">
        <v>382</v>
      </c>
      <c r="R16" s="11">
        <f t="shared" si="4"/>
        <v>45331</v>
      </c>
      <c r="S16" s="29" t="s">
        <v>12</v>
      </c>
      <c r="T16" s="45" t="s">
        <v>383</v>
      </c>
      <c r="U16" s="45" t="s">
        <v>384</v>
      </c>
      <c r="V16" s="11">
        <f t="shared" si="5"/>
        <v>45360</v>
      </c>
      <c r="W16" s="29" t="s">
        <v>12</v>
      </c>
      <c r="X16" s="41" t="s">
        <v>12</v>
      </c>
      <c r="Y16" s="54"/>
      <c r="Z16" s="141">
        <v>9</v>
      </c>
    </row>
    <row r="17" spans="1:26" ht="100.35" customHeight="1">
      <c r="A17" s="116">
        <v>10</v>
      </c>
      <c r="B17" s="10">
        <f t="shared" si="0"/>
        <v>45209</v>
      </c>
      <c r="C17" s="167">
        <v>2</v>
      </c>
      <c r="D17" s="103"/>
      <c r="E17" s="168"/>
      <c r="F17" s="10">
        <f t="shared" si="1"/>
        <v>45240</v>
      </c>
      <c r="G17" s="127">
        <v>5</v>
      </c>
      <c r="H17" s="45" t="s">
        <v>12</v>
      </c>
      <c r="I17" s="45"/>
      <c r="J17" s="10">
        <f t="shared" si="2"/>
        <v>45270</v>
      </c>
      <c r="K17" s="127" t="s">
        <v>12</v>
      </c>
      <c r="L17" s="97" t="s">
        <v>381</v>
      </c>
      <c r="M17" s="97" t="s">
        <v>381</v>
      </c>
      <c r="N17" s="10">
        <f t="shared" si="3"/>
        <v>45301</v>
      </c>
      <c r="O17" s="127">
        <v>11</v>
      </c>
      <c r="P17" s="97" t="s">
        <v>385</v>
      </c>
      <c r="Q17" s="97" t="s">
        <v>386</v>
      </c>
      <c r="R17" s="10">
        <f t="shared" si="4"/>
        <v>45332</v>
      </c>
      <c r="S17" s="127" t="s">
        <v>12</v>
      </c>
      <c r="T17" s="45" t="s">
        <v>387</v>
      </c>
      <c r="U17" s="45" t="s">
        <v>387</v>
      </c>
      <c r="V17" s="11">
        <f t="shared" si="5"/>
        <v>45361</v>
      </c>
      <c r="W17" s="127" t="s">
        <v>12</v>
      </c>
      <c r="X17" s="45"/>
      <c r="Y17" s="170"/>
      <c r="Z17" s="171">
        <v>10</v>
      </c>
    </row>
    <row r="18" spans="1:26" ht="100.35" customHeight="1">
      <c r="A18" s="129">
        <v>11</v>
      </c>
      <c r="B18" s="10">
        <f t="shared" si="0"/>
        <v>45210</v>
      </c>
      <c r="C18" s="130">
        <v>2</v>
      </c>
      <c r="D18" s="43" t="s">
        <v>388</v>
      </c>
      <c r="E18" s="97"/>
      <c r="F18" s="10">
        <f t="shared" si="1"/>
        <v>45241</v>
      </c>
      <c r="G18" s="130"/>
      <c r="H18" s="97" t="s">
        <v>389</v>
      </c>
      <c r="I18" s="97"/>
      <c r="J18" s="10">
        <f t="shared" si="2"/>
        <v>45271</v>
      </c>
      <c r="K18" s="130">
        <v>9</v>
      </c>
      <c r="L18" s="97"/>
      <c r="M18" s="97"/>
      <c r="N18" s="10">
        <f t="shared" si="3"/>
        <v>45302</v>
      </c>
      <c r="O18" s="130">
        <v>11</v>
      </c>
      <c r="P18" s="97" t="s">
        <v>19</v>
      </c>
      <c r="Q18" s="97"/>
      <c r="R18" s="10">
        <f t="shared" si="4"/>
        <v>45333</v>
      </c>
      <c r="S18" s="130" t="s">
        <v>12</v>
      </c>
      <c r="T18" s="97" t="s">
        <v>390</v>
      </c>
      <c r="U18" s="97" t="s">
        <v>390</v>
      </c>
      <c r="V18" s="11">
        <f t="shared" si="5"/>
        <v>45362</v>
      </c>
      <c r="W18" s="167" t="s">
        <v>12</v>
      </c>
      <c r="X18" s="102" t="s">
        <v>391</v>
      </c>
      <c r="Y18" s="175"/>
      <c r="Z18" s="124">
        <v>11</v>
      </c>
    </row>
    <row r="19" spans="1:26" ht="100.35" customHeight="1">
      <c r="A19" s="114">
        <v>12</v>
      </c>
      <c r="B19" s="10">
        <f t="shared" si="0"/>
        <v>45211</v>
      </c>
      <c r="C19" s="128">
        <v>2</v>
      </c>
      <c r="D19" s="41" t="s">
        <v>392</v>
      </c>
      <c r="E19" s="43"/>
      <c r="F19" s="10">
        <f t="shared" si="1"/>
        <v>45242</v>
      </c>
      <c r="G19" s="128" t="s">
        <v>12</v>
      </c>
      <c r="H19" s="99" t="s">
        <v>393</v>
      </c>
      <c r="I19" s="99"/>
      <c r="J19" s="10">
        <f t="shared" si="2"/>
        <v>45272</v>
      </c>
      <c r="K19" s="128">
        <v>9</v>
      </c>
      <c r="L19" s="43" t="s">
        <v>12</v>
      </c>
      <c r="M19" s="43"/>
      <c r="N19" s="10">
        <f t="shared" si="3"/>
        <v>45303</v>
      </c>
      <c r="O19" s="128">
        <v>12</v>
      </c>
      <c r="P19" s="70" t="s">
        <v>12</v>
      </c>
      <c r="Q19" s="43"/>
      <c r="R19" s="10">
        <f t="shared" si="4"/>
        <v>45334</v>
      </c>
      <c r="S19" s="38"/>
      <c r="T19" s="40" t="s">
        <v>394</v>
      </c>
      <c r="U19" s="40" t="s">
        <v>394</v>
      </c>
      <c r="V19" s="11">
        <f t="shared" si="5"/>
        <v>45363</v>
      </c>
      <c r="W19" s="128" t="s">
        <v>12</v>
      </c>
      <c r="X19" s="102"/>
      <c r="Y19" s="66"/>
      <c r="Z19" s="113">
        <v>12</v>
      </c>
    </row>
    <row r="20" spans="1:26" ht="100.35" customHeight="1">
      <c r="A20" s="112">
        <v>13</v>
      </c>
      <c r="B20" s="10">
        <f t="shared" si="0"/>
        <v>45212</v>
      </c>
      <c r="C20" s="29">
        <v>2</v>
      </c>
      <c r="D20" s="42" t="s">
        <v>395</v>
      </c>
      <c r="E20" s="41"/>
      <c r="F20" s="10">
        <f t="shared" si="1"/>
        <v>45243</v>
      </c>
      <c r="G20" s="29">
        <v>5</v>
      </c>
      <c r="H20" s="47" t="s">
        <v>12</v>
      </c>
      <c r="I20" s="48"/>
      <c r="J20" s="10">
        <f t="shared" si="2"/>
        <v>45273</v>
      </c>
      <c r="K20" s="29">
        <v>9</v>
      </c>
      <c r="L20" s="41" t="s">
        <v>396</v>
      </c>
      <c r="M20" s="41"/>
      <c r="N20" s="10">
        <f t="shared" si="3"/>
        <v>45304</v>
      </c>
      <c r="O20" s="29"/>
      <c r="P20" s="41" t="s">
        <v>12</v>
      </c>
      <c r="Q20" s="41"/>
      <c r="R20" s="10">
        <f t="shared" si="4"/>
        <v>45335</v>
      </c>
      <c r="S20" s="29" t="s">
        <v>12</v>
      </c>
      <c r="T20" s="41" t="s">
        <v>397</v>
      </c>
      <c r="U20" s="41" t="s">
        <v>398</v>
      </c>
      <c r="V20" s="11">
        <f t="shared" si="5"/>
        <v>45364</v>
      </c>
      <c r="W20" s="29" t="s">
        <v>12</v>
      </c>
      <c r="X20" s="102"/>
      <c r="Y20" s="54"/>
      <c r="Z20" s="113">
        <v>13</v>
      </c>
    </row>
    <row r="21" spans="1:26" ht="100.35" customHeight="1">
      <c r="A21" s="112">
        <v>14</v>
      </c>
      <c r="B21" s="10">
        <f t="shared" si="0"/>
        <v>45213</v>
      </c>
      <c r="C21" s="29"/>
      <c r="D21" s="201" t="s">
        <v>399</v>
      </c>
      <c r="E21" s="44" t="s">
        <v>400</v>
      </c>
      <c r="F21" s="10">
        <f t="shared" si="1"/>
        <v>45244</v>
      </c>
      <c r="G21" s="29">
        <v>6</v>
      </c>
      <c r="H21" s="48" t="s">
        <v>12</v>
      </c>
      <c r="I21" s="48"/>
      <c r="J21" s="10">
        <f t="shared" si="2"/>
        <v>45274</v>
      </c>
      <c r="K21" s="29">
        <v>9</v>
      </c>
      <c r="L21" s="46" t="s">
        <v>401</v>
      </c>
      <c r="M21" s="41"/>
      <c r="N21" s="10">
        <f t="shared" si="3"/>
        <v>45305</v>
      </c>
      <c r="O21" s="29" t="s">
        <v>12</v>
      </c>
      <c r="P21" s="41" t="s">
        <v>12</v>
      </c>
      <c r="Q21" s="41"/>
      <c r="R21" s="10">
        <f t="shared" si="4"/>
        <v>45336</v>
      </c>
      <c r="S21" s="29" t="s">
        <v>12</v>
      </c>
      <c r="T21" s="173" t="s">
        <v>402</v>
      </c>
      <c r="U21" s="41" t="s">
        <v>403</v>
      </c>
      <c r="V21" s="11">
        <f t="shared" si="5"/>
        <v>45365</v>
      </c>
      <c r="W21" s="29" t="s">
        <v>12</v>
      </c>
      <c r="X21" s="102" t="s">
        <v>404</v>
      </c>
      <c r="Y21" s="102" t="s">
        <v>404</v>
      </c>
      <c r="Z21" s="113">
        <v>14</v>
      </c>
    </row>
    <row r="22" spans="1:26" ht="100.35" customHeight="1">
      <c r="A22" s="112">
        <v>15</v>
      </c>
      <c r="B22" s="10">
        <f t="shared" si="0"/>
        <v>45214</v>
      </c>
      <c r="C22" s="29" t="s">
        <v>12</v>
      </c>
      <c r="D22" s="41" t="s">
        <v>405</v>
      </c>
      <c r="E22" s="41"/>
      <c r="F22" s="10">
        <f t="shared" si="1"/>
        <v>45245</v>
      </c>
      <c r="G22" s="29">
        <v>6</v>
      </c>
      <c r="H22" s="43" t="s">
        <v>406</v>
      </c>
      <c r="I22" s="43"/>
      <c r="J22" s="10">
        <f t="shared" si="2"/>
        <v>45275</v>
      </c>
      <c r="K22" s="29">
        <v>10</v>
      </c>
      <c r="L22" s="47" t="s">
        <v>407</v>
      </c>
      <c r="M22" s="136" t="s">
        <v>408</v>
      </c>
      <c r="N22" s="10">
        <f t="shared" si="3"/>
        <v>45306</v>
      </c>
      <c r="O22" s="29">
        <v>12</v>
      </c>
      <c r="P22" s="41" t="s">
        <v>12</v>
      </c>
      <c r="Q22" s="41"/>
      <c r="R22" s="10">
        <f t="shared" si="4"/>
        <v>45337</v>
      </c>
      <c r="S22" s="29" t="s">
        <v>12</v>
      </c>
      <c r="T22" s="173" t="s">
        <v>111</v>
      </c>
      <c r="U22" s="52" t="s">
        <v>403</v>
      </c>
      <c r="V22" s="11">
        <f t="shared" si="5"/>
        <v>45366</v>
      </c>
      <c r="W22" s="74" t="s">
        <v>12</v>
      </c>
      <c r="X22" s="103" t="s">
        <v>409</v>
      </c>
      <c r="Y22" s="103" t="s">
        <v>410</v>
      </c>
      <c r="Z22" s="162">
        <v>15</v>
      </c>
    </row>
    <row r="23" spans="1:26" ht="100.35" customHeight="1">
      <c r="A23" s="112">
        <v>16</v>
      </c>
      <c r="B23" s="10">
        <f t="shared" si="0"/>
        <v>45215</v>
      </c>
      <c r="C23" s="29">
        <v>2</v>
      </c>
      <c r="D23" s="41" t="s">
        <v>411</v>
      </c>
      <c r="E23" s="41"/>
      <c r="F23" s="10">
        <f t="shared" si="1"/>
        <v>45246</v>
      </c>
      <c r="G23" s="29">
        <v>7</v>
      </c>
      <c r="H23" s="41" t="s">
        <v>12</v>
      </c>
      <c r="I23" s="41"/>
      <c r="J23" s="10">
        <f t="shared" si="2"/>
        <v>45276</v>
      </c>
      <c r="K23" s="74"/>
      <c r="L23" s="102"/>
      <c r="M23" s="102"/>
      <c r="N23" s="10">
        <f t="shared" si="3"/>
        <v>45307</v>
      </c>
      <c r="O23" s="29">
        <v>12</v>
      </c>
      <c r="P23" s="102"/>
      <c r="Q23" s="102"/>
      <c r="R23" s="10">
        <f t="shared" si="4"/>
        <v>45338</v>
      </c>
      <c r="S23" s="29" t="s">
        <v>12</v>
      </c>
      <c r="T23" s="41" t="s">
        <v>412</v>
      </c>
      <c r="U23" s="41" t="s">
        <v>403</v>
      </c>
      <c r="V23" s="11">
        <f t="shared" si="5"/>
        <v>45367</v>
      </c>
      <c r="W23" s="29" t="s">
        <v>12</v>
      </c>
      <c r="X23" s="40"/>
      <c r="Y23" s="40"/>
      <c r="Z23" s="113">
        <v>16</v>
      </c>
    </row>
    <row r="24" spans="1:26" ht="100.35" customHeight="1">
      <c r="A24" s="112">
        <v>17</v>
      </c>
      <c r="B24" s="10">
        <f t="shared" si="0"/>
        <v>45216</v>
      </c>
      <c r="C24" s="29">
        <v>3</v>
      </c>
      <c r="D24" s="41"/>
      <c r="E24" s="41"/>
      <c r="F24" s="10">
        <f t="shared" si="1"/>
        <v>45247</v>
      </c>
      <c r="G24" s="29">
        <v>6</v>
      </c>
      <c r="H24" s="41" t="s">
        <v>12</v>
      </c>
      <c r="I24" s="41"/>
      <c r="J24" s="10">
        <f t="shared" si="2"/>
        <v>45277</v>
      </c>
      <c r="K24" s="74" t="s">
        <v>12</v>
      </c>
      <c r="L24" s="47"/>
      <c r="M24" s="47"/>
      <c r="N24" s="10">
        <f t="shared" si="3"/>
        <v>45308</v>
      </c>
      <c r="O24" s="29">
        <v>12</v>
      </c>
      <c r="P24" s="42" t="s">
        <v>413</v>
      </c>
      <c r="Q24" s="41"/>
      <c r="R24" s="10">
        <f t="shared" si="4"/>
        <v>45339</v>
      </c>
      <c r="S24" s="29"/>
      <c r="T24" s="41" t="s">
        <v>414</v>
      </c>
      <c r="U24" s="41" t="s">
        <v>414</v>
      </c>
      <c r="V24" s="11">
        <f t="shared" si="5"/>
        <v>45368</v>
      </c>
      <c r="W24" s="29" t="s">
        <v>12</v>
      </c>
      <c r="X24" s="41"/>
      <c r="Y24" s="41"/>
      <c r="Z24" s="113">
        <v>17</v>
      </c>
    </row>
    <row r="25" spans="1:26" ht="100.35" customHeight="1">
      <c r="A25" s="112">
        <v>18</v>
      </c>
      <c r="B25" s="10">
        <f t="shared" si="0"/>
        <v>45217</v>
      </c>
      <c r="C25" s="29">
        <v>3</v>
      </c>
      <c r="D25" s="45" t="s">
        <v>415</v>
      </c>
      <c r="E25" s="41"/>
      <c r="F25" s="10">
        <f t="shared" si="1"/>
        <v>45248</v>
      </c>
      <c r="G25" s="29"/>
      <c r="H25" s="67" t="s">
        <v>416</v>
      </c>
      <c r="I25" s="67" t="s">
        <v>416</v>
      </c>
      <c r="J25" s="10">
        <f t="shared" si="2"/>
        <v>45278</v>
      </c>
      <c r="K25" s="74">
        <v>10</v>
      </c>
      <c r="L25" s="102" t="s">
        <v>417</v>
      </c>
      <c r="M25" s="102" t="s">
        <v>417</v>
      </c>
      <c r="N25" s="10">
        <f t="shared" si="3"/>
        <v>45309</v>
      </c>
      <c r="O25" s="29">
        <v>12</v>
      </c>
      <c r="P25" s="42"/>
      <c r="Q25" s="41"/>
      <c r="R25" s="10">
        <f t="shared" si="4"/>
        <v>45340</v>
      </c>
      <c r="S25" s="29" t="s">
        <v>12</v>
      </c>
      <c r="T25" s="41" t="s">
        <v>414</v>
      </c>
      <c r="U25" s="41" t="s">
        <v>418</v>
      </c>
      <c r="V25" s="11">
        <f t="shared" si="5"/>
        <v>45369</v>
      </c>
      <c r="W25" s="127" t="s">
        <v>12</v>
      </c>
      <c r="X25" s="102" t="s">
        <v>419</v>
      </c>
      <c r="Y25" s="102" t="s">
        <v>419</v>
      </c>
      <c r="Z25" s="113">
        <v>18</v>
      </c>
    </row>
    <row r="26" spans="1:26" ht="100.35" customHeight="1">
      <c r="A26" s="116">
        <v>19</v>
      </c>
      <c r="B26" s="10">
        <f t="shared" si="0"/>
        <v>45218</v>
      </c>
      <c r="C26" s="155">
        <v>3</v>
      </c>
      <c r="D26" s="102" t="s">
        <v>420</v>
      </c>
      <c r="E26" s="157"/>
      <c r="F26" s="10">
        <f t="shared" si="1"/>
        <v>45249</v>
      </c>
      <c r="G26" s="127" t="s">
        <v>12</v>
      </c>
      <c r="H26" s="67"/>
      <c r="I26" s="67"/>
      <c r="J26" s="10">
        <f t="shared" si="2"/>
        <v>45279</v>
      </c>
      <c r="K26" s="155">
        <v>10</v>
      </c>
      <c r="L26" s="134" t="s">
        <v>421</v>
      </c>
      <c r="M26" s="136" t="s">
        <v>422</v>
      </c>
      <c r="N26" s="10">
        <f t="shared" si="3"/>
        <v>45310</v>
      </c>
      <c r="O26" s="127"/>
      <c r="P26" s="97" t="s">
        <v>423</v>
      </c>
      <c r="Q26" s="97" t="s">
        <v>424</v>
      </c>
      <c r="R26" s="10">
        <f t="shared" si="4"/>
        <v>45341</v>
      </c>
      <c r="S26" s="127" t="s">
        <v>12</v>
      </c>
      <c r="T26" s="97" t="s">
        <v>425</v>
      </c>
      <c r="U26" s="45" t="s">
        <v>426</v>
      </c>
      <c r="V26" s="176">
        <f t="shared" si="5"/>
        <v>45370</v>
      </c>
      <c r="W26" s="177" t="s">
        <v>12</v>
      </c>
      <c r="X26" s="102"/>
      <c r="Y26" s="102"/>
      <c r="Z26" s="132">
        <v>19</v>
      </c>
    </row>
    <row r="27" spans="1:26" ht="100.35" customHeight="1">
      <c r="A27" s="129">
        <v>20</v>
      </c>
      <c r="B27" s="10">
        <f t="shared" si="0"/>
        <v>45219</v>
      </c>
      <c r="C27" s="130">
        <v>3</v>
      </c>
      <c r="D27" s="43"/>
      <c r="E27" s="97"/>
      <c r="F27" s="10">
        <f t="shared" si="1"/>
        <v>45250</v>
      </c>
      <c r="G27" s="130">
        <v>6</v>
      </c>
      <c r="H27" s="97" t="s">
        <v>12</v>
      </c>
      <c r="I27" s="97"/>
      <c r="J27" s="10">
        <f t="shared" si="2"/>
        <v>45280</v>
      </c>
      <c r="K27" s="130">
        <v>10</v>
      </c>
      <c r="L27" s="135" t="s">
        <v>427</v>
      </c>
      <c r="M27" s="102"/>
      <c r="N27" s="10">
        <f t="shared" si="3"/>
        <v>45311</v>
      </c>
      <c r="O27" s="130" t="s">
        <v>12</v>
      </c>
      <c r="P27" s="43" t="s">
        <v>428</v>
      </c>
      <c r="Q27" s="43" t="s">
        <v>429</v>
      </c>
      <c r="R27" s="10">
        <f t="shared" si="4"/>
        <v>45342</v>
      </c>
      <c r="S27" s="130"/>
      <c r="T27" s="131" t="s">
        <v>365</v>
      </c>
      <c r="U27" s="97"/>
      <c r="V27" s="11">
        <f t="shared" si="5"/>
        <v>45371</v>
      </c>
      <c r="W27" s="133" t="s">
        <v>12</v>
      </c>
      <c r="X27" s="40" t="s">
        <v>430</v>
      </c>
      <c r="Y27" s="40" t="s">
        <v>430</v>
      </c>
      <c r="Z27" s="171">
        <v>20</v>
      </c>
    </row>
    <row r="28" spans="1:26" ht="100.35" customHeight="1">
      <c r="A28" s="114">
        <v>21</v>
      </c>
      <c r="B28" s="10">
        <f t="shared" si="0"/>
        <v>45220</v>
      </c>
      <c r="C28" s="128"/>
      <c r="D28" s="43"/>
      <c r="E28" s="43"/>
      <c r="F28" s="10">
        <f t="shared" si="1"/>
        <v>45251</v>
      </c>
      <c r="G28" s="128">
        <v>7</v>
      </c>
      <c r="H28" s="41"/>
      <c r="I28" s="41"/>
      <c r="J28" s="10">
        <f t="shared" si="2"/>
        <v>45281</v>
      </c>
      <c r="K28" s="128">
        <v>10</v>
      </c>
      <c r="L28" s="47" t="s">
        <v>431</v>
      </c>
      <c r="M28" s="47" t="s">
        <v>431</v>
      </c>
      <c r="N28" s="10">
        <f t="shared" si="3"/>
        <v>45312</v>
      </c>
      <c r="O28" s="128" t="s">
        <v>12</v>
      </c>
      <c r="P28" s="41" t="s">
        <v>432</v>
      </c>
      <c r="Q28" s="41" t="s">
        <v>433</v>
      </c>
      <c r="R28" s="10">
        <f t="shared" si="4"/>
        <v>45343</v>
      </c>
      <c r="S28" s="128">
        <v>15</v>
      </c>
      <c r="T28" s="117" t="s">
        <v>434</v>
      </c>
      <c r="U28" s="43"/>
      <c r="V28" s="11">
        <f t="shared" si="5"/>
        <v>45372</v>
      </c>
      <c r="W28" s="29" t="s">
        <v>12</v>
      </c>
      <c r="X28" s="41" t="s">
        <v>12</v>
      </c>
      <c r="Y28" s="56"/>
      <c r="Z28" s="147">
        <v>21</v>
      </c>
    </row>
    <row r="29" spans="1:26" ht="100.35" customHeight="1">
      <c r="A29" s="112">
        <v>22</v>
      </c>
      <c r="B29" s="10">
        <f t="shared" si="0"/>
        <v>45221</v>
      </c>
      <c r="C29" s="29" t="s">
        <v>12</v>
      </c>
      <c r="D29" s="184"/>
      <c r="E29" s="184"/>
      <c r="F29" s="10">
        <f t="shared" si="1"/>
        <v>45252</v>
      </c>
      <c r="G29" s="38" t="s">
        <v>12</v>
      </c>
      <c r="H29" s="41" t="s">
        <v>435</v>
      </c>
      <c r="I29" s="41" t="s">
        <v>435</v>
      </c>
      <c r="J29" s="10">
        <f t="shared" si="2"/>
        <v>45282</v>
      </c>
      <c r="K29" s="29">
        <v>11</v>
      </c>
      <c r="L29" s="60" t="s">
        <v>436</v>
      </c>
      <c r="M29" s="102" t="s">
        <v>436</v>
      </c>
      <c r="N29" s="10">
        <f t="shared" si="3"/>
        <v>45313</v>
      </c>
      <c r="O29" s="29">
        <v>13</v>
      </c>
      <c r="P29" s="41"/>
      <c r="Q29" s="41"/>
      <c r="R29" s="10">
        <f t="shared" si="4"/>
        <v>45344</v>
      </c>
      <c r="S29" s="29">
        <v>15</v>
      </c>
      <c r="T29" s="71" t="s">
        <v>437</v>
      </c>
      <c r="U29" s="174"/>
      <c r="V29" s="11">
        <f t="shared" si="5"/>
        <v>45373</v>
      </c>
      <c r="W29" s="29" t="s">
        <v>12</v>
      </c>
      <c r="X29" s="41" t="s">
        <v>12</v>
      </c>
      <c r="Y29" s="56"/>
      <c r="Z29" s="113">
        <v>22</v>
      </c>
    </row>
    <row r="30" spans="1:26" ht="100.35" customHeight="1">
      <c r="A30" s="112">
        <v>23</v>
      </c>
      <c r="B30" s="10">
        <f t="shared" si="0"/>
        <v>45222</v>
      </c>
      <c r="C30" s="29">
        <v>3</v>
      </c>
      <c r="D30" s="41"/>
      <c r="E30" s="41"/>
      <c r="F30" s="10">
        <f t="shared" si="1"/>
        <v>45253</v>
      </c>
      <c r="G30" s="38" t="s">
        <v>12</v>
      </c>
      <c r="H30" s="46" t="s">
        <v>438</v>
      </c>
      <c r="I30" s="46" t="s">
        <v>438</v>
      </c>
      <c r="J30" s="10">
        <f t="shared" si="2"/>
        <v>45283</v>
      </c>
      <c r="K30" s="29"/>
      <c r="L30" s="97" t="s">
        <v>381</v>
      </c>
      <c r="M30" s="102" t="s">
        <v>381</v>
      </c>
      <c r="N30" s="10">
        <f t="shared" si="3"/>
        <v>45314</v>
      </c>
      <c r="O30" s="29">
        <v>13</v>
      </c>
      <c r="P30" s="42" t="s">
        <v>12</v>
      </c>
      <c r="Q30" s="41"/>
      <c r="R30" s="10">
        <f t="shared" si="4"/>
        <v>45345</v>
      </c>
      <c r="S30" s="38"/>
      <c r="T30" s="46" t="s">
        <v>439</v>
      </c>
      <c r="U30" s="126" t="s">
        <v>440</v>
      </c>
      <c r="V30" s="11">
        <f t="shared" si="5"/>
        <v>45374</v>
      </c>
      <c r="W30" s="29" t="s">
        <v>12</v>
      </c>
      <c r="X30" s="41" t="s">
        <v>12</v>
      </c>
      <c r="Y30" s="55"/>
      <c r="Z30" s="113">
        <v>23</v>
      </c>
    </row>
    <row r="31" spans="1:26" ht="100.35" customHeight="1">
      <c r="A31" s="112">
        <v>24</v>
      </c>
      <c r="B31" s="10">
        <f t="shared" si="0"/>
        <v>45223</v>
      </c>
      <c r="C31" s="29">
        <v>4</v>
      </c>
      <c r="D31" s="41" t="s">
        <v>441</v>
      </c>
      <c r="E31" s="41" t="s">
        <v>441</v>
      </c>
      <c r="F31" s="10">
        <f t="shared" si="1"/>
        <v>45254</v>
      </c>
      <c r="G31" s="29">
        <v>7</v>
      </c>
      <c r="H31" s="41" t="s">
        <v>442</v>
      </c>
      <c r="I31" s="41" t="s">
        <v>443</v>
      </c>
      <c r="J31" s="10">
        <f t="shared" si="2"/>
        <v>45284</v>
      </c>
      <c r="K31" s="29" t="s">
        <v>12</v>
      </c>
      <c r="L31" s="97" t="s">
        <v>381</v>
      </c>
      <c r="M31" s="43" t="s">
        <v>381</v>
      </c>
      <c r="N31" s="10">
        <f t="shared" si="3"/>
        <v>45315</v>
      </c>
      <c r="O31" s="29">
        <v>13</v>
      </c>
      <c r="P31" s="42" t="s">
        <v>444</v>
      </c>
      <c r="Q31" s="41"/>
      <c r="R31" s="10">
        <f t="shared" si="4"/>
        <v>45346</v>
      </c>
      <c r="S31" s="29"/>
      <c r="T31" s="60" t="s">
        <v>445</v>
      </c>
      <c r="U31" s="60" t="s">
        <v>445</v>
      </c>
      <c r="V31" s="11">
        <f t="shared" si="5"/>
        <v>45375</v>
      </c>
      <c r="W31" s="29" t="s">
        <v>12</v>
      </c>
      <c r="X31" s="41"/>
      <c r="Y31" s="57"/>
      <c r="Z31" s="113">
        <v>24</v>
      </c>
    </row>
    <row r="32" spans="1:26" ht="100.35" customHeight="1" thickBot="1">
      <c r="A32" s="112">
        <v>25</v>
      </c>
      <c r="B32" s="10">
        <f t="shared" si="0"/>
        <v>45224</v>
      </c>
      <c r="C32" s="29">
        <v>4</v>
      </c>
      <c r="D32" s="41" t="s">
        <v>446</v>
      </c>
      <c r="E32" s="41"/>
      <c r="F32" s="10">
        <f t="shared" si="1"/>
        <v>45255</v>
      </c>
      <c r="G32" s="29"/>
      <c r="H32" s="165" t="s">
        <v>88</v>
      </c>
      <c r="I32" s="41"/>
      <c r="J32" s="10">
        <f t="shared" si="2"/>
        <v>45285</v>
      </c>
      <c r="K32" s="29">
        <v>11</v>
      </c>
      <c r="L32" s="99"/>
      <c r="M32" s="99"/>
      <c r="N32" s="10">
        <f t="shared" si="3"/>
        <v>45316</v>
      </c>
      <c r="O32" s="29">
        <v>13</v>
      </c>
      <c r="P32" s="42"/>
      <c r="Q32" s="41"/>
      <c r="R32" s="10">
        <f t="shared" si="4"/>
        <v>45347</v>
      </c>
      <c r="S32" s="29" t="s">
        <v>12</v>
      </c>
      <c r="T32" s="41" t="s">
        <v>447</v>
      </c>
      <c r="U32" s="41" t="s">
        <v>447</v>
      </c>
      <c r="V32" s="11">
        <f t="shared" si="5"/>
        <v>45376</v>
      </c>
      <c r="W32" s="29" t="s">
        <v>12</v>
      </c>
      <c r="X32" s="41"/>
      <c r="Y32" s="54"/>
      <c r="Z32" s="113">
        <v>25</v>
      </c>
    </row>
    <row r="33" spans="1:26" ht="100.35" customHeight="1" thickTop="1">
      <c r="A33" s="112">
        <v>26</v>
      </c>
      <c r="B33" s="10">
        <f t="shared" si="0"/>
        <v>45225</v>
      </c>
      <c r="C33" s="29">
        <v>4</v>
      </c>
      <c r="D33" s="41"/>
      <c r="E33" s="41"/>
      <c r="F33" s="10">
        <f t="shared" si="1"/>
        <v>45256</v>
      </c>
      <c r="G33" s="29" t="s">
        <v>12</v>
      </c>
      <c r="H33" s="184" t="s">
        <v>448</v>
      </c>
      <c r="I33" s="184" t="s">
        <v>448</v>
      </c>
      <c r="J33" s="10">
        <f t="shared" si="2"/>
        <v>45286</v>
      </c>
      <c r="K33" s="29" t="s">
        <v>12</v>
      </c>
      <c r="L33" s="202" t="s">
        <v>449</v>
      </c>
      <c r="M33" s="202" t="s">
        <v>449</v>
      </c>
      <c r="N33" s="10">
        <f t="shared" si="3"/>
        <v>45317</v>
      </c>
      <c r="O33" s="29">
        <v>13</v>
      </c>
      <c r="P33" s="41" t="s">
        <v>12</v>
      </c>
      <c r="Q33" s="42"/>
      <c r="R33" s="10">
        <f t="shared" si="4"/>
        <v>45348</v>
      </c>
      <c r="S33" s="29">
        <v>15</v>
      </c>
      <c r="T33" s="71" t="s">
        <v>123</v>
      </c>
      <c r="U33" s="174"/>
      <c r="V33" s="11">
        <f t="shared" si="5"/>
        <v>45377</v>
      </c>
      <c r="W33" s="29" t="s">
        <v>12</v>
      </c>
      <c r="X33" s="41" t="s">
        <v>12</v>
      </c>
      <c r="Y33" s="55"/>
      <c r="Z33" s="113">
        <v>26</v>
      </c>
    </row>
    <row r="34" spans="1:26" ht="100.35" customHeight="1">
      <c r="A34" s="112">
        <v>27</v>
      </c>
      <c r="B34" s="10">
        <f t="shared" si="0"/>
        <v>45226</v>
      </c>
      <c r="C34" s="29">
        <v>4</v>
      </c>
      <c r="D34" s="43"/>
      <c r="E34" s="41"/>
      <c r="F34" s="10">
        <f t="shared" si="1"/>
        <v>45257</v>
      </c>
      <c r="G34" s="29">
        <v>7</v>
      </c>
      <c r="H34" s="41"/>
      <c r="I34" s="41"/>
      <c r="J34" s="10">
        <f t="shared" si="2"/>
        <v>45287</v>
      </c>
      <c r="K34" s="29" t="s">
        <v>12</v>
      </c>
      <c r="L34" s="41" t="s">
        <v>12</v>
      </c>
      <c r="M34" s="41"/>
      <c r="N34" s="10">
        <f t="shared" si="3"/>
        <v>45318</v>
      </c>
      <c r="O34" s="29"/>
      <c r="P34" s="41" t="s">
        <v>12</v>
      </c>
      <c r="Q34" s="42"/>
      <c r="R34" s="10">
        <f t="shared" si="4"/>
        <v>45349</v>
      </c>
      <c r="S34" s="29">
        <v>15</v>
      </c>
      <c r="T34" s="71" t="s">
        <v>123</v>
      </c>
      <c r="U34" s="174" t="s">
        <v>450</v>
      </c>
      <c r="V34" s="11">
        <f t="shared" si="5"/>
        <v>45378</v>
      </c>
      <c r="W34" s="29" t="s">
        <v>12</v>
      </c>
      <c r="X34" s="41" t="s">
        <v>451</v>
      </c>
      <c r="Y34" s="54"/>
      <c r="Z34" s="113">
        <v>27</v>
      </c>
    </row>
    <row r="35" spans="1:26" ht="100.35" customHeight="1">
      <c r="A35" s="112">
        <v>28</v>
      </c>
      <c r="B35" s="10">
        <f t="shared" si="0"/>
        <v>45227</v>
      </c>
      <c r="C35" s="29"/>
      <c r="D35" s="41" t="s">
        <v>12</v>
      </c>
      <c r="E35" s="41"/>
      <c r="F35" s="10">
        <f t="shared" si="1"/>
        <v>45258</v>
      </c>
      <c r="G35" s="29"/>
      <c r="H35" s="46" t="s">
        <v>88</v>
      </c>
      <c r="I35" s="41"/>
      <c r="J35" s="10">
        <f t="shared" si="2"/>
        <v>45288</v>
      </c>
      <c r="K35" s="29" t="s">
        <v>12</v>
      </c>
      <c r="L35" s="41" t="s">
        <v>12</v>
      </c>
      <c r="M35" s="41"/>
      <c r="N35" s="10">
        <f t="shared" si="3"/>
        <v>45319</v>
      </c>
      <c r="O35" s="29" t="s">
        <v>12</v>
      </c>
      <c r="P35" s="41" t="s">
        <v>12</v>
      </c>
      <c r="Q35" s="42"/>
      <c r="R35" s="10">
        <f t="shared" si="4"/>
        <v>45350</v>
      </c>
      <c r="S35" s="72" t="s">
        <v>452</v>
      </c>
      <c r="T35" s="41" t="s">
        <v>453</v>
      </c>
      <c r="U35" s="41"/>
      <c r="V35" s="11">
        <f t="shared" si="5"/>
        <v>45379</v>
      </c>
      <c r="W35" s="29" t="s">
        <v>12</v>
      </c>
      <c r="X35" s="41" t="s">
        <v>12</v>
      </c>
      <c r="Y35" s="54"/>
      <c r="Z35" s="113">
        <v>28</v>
      </c>
    </row>
    <row r="36" spans="1:26" ht="100.35" customHeight="1">
      <c r="A36" s="112">
        <v>29</v>
      </c>
      <c r="B36" s="10">
        <f t="shared" si="0"/>
        <v>45228</v>
      </c>
      <c r="C36" s="29" t="s">
        <v>12</v>
      </c>
      <c r="D36" s="41" t="s">
        <v>12</v>
      </c>
      <c r="E36" s="41"/>
      <c r="F36" s="10">
        <f t="shared" si="1"/>
        <v>45259</v>
      </c>
      <c r="G36" s="29">
        <v>7</v>
      </c>
      <c r="H36" s="41" t="s">
        <v>454</v>
      </c>
      <c r="I36" s="41"/>
      <c r="J36" s="10">
        <f t="shared" si="2"/>
        <v>45289</v>
      </c>
      <c r="K36" s="29" t="s">
        <v>12</v>
      </c>
      <c r="L36" s="41" t="s">
        <v>12</v>
      </c>
      <c r="M36" s="41"/>
      <c r="N36" s="10">
        <f t="shared" si="3"/>
        <v>45320</v>
      </c>
      <c r="O36" s="29">
        <v>14</v>
      </c>
      <c r="P36" s="41" t="s">
        <v>12</v>
      </c>
      <c r="Q36" s="42"/>
      <c r="R36" s="10">
        <f t="shared" si="4"/>
        <v>45351</v>
      </c>
      <c r="S36" s="130"/>
      <c r="T36" s="198" t="s">
        <v>455</v>
      </c>
      <c r="U36" s="41"/>
      <c r="V36" s="11">
        <f t="shared" si="5"/>
        <v>45380</v>
      </c>
      <c r="W36" s="29" t="s">
        <v>12</v>
      </c>
      <c r="X36" s="41" t="s">
        <v>12</v>
      </c>
      <c r="Y36" s="54"/>
      <c r="Z36" s="113">
        <v>29</v>
      </c>
    </row>
    <row r="37" spans="1:26" ht="100.35" customHeight="1">
      <c r="A37" s="112">
        <v>30</v>
      </c>
      <c r="B37" s="10">
        <f t="shared" si="0"/>
        <v>45229</v>
      </c>
      <c r="C37" s="29">
        <v>4</v>
      </c>
      <c r="D37" s="41" t="s">
        <v>12</v>
      </c>
      <c r="E37" s="41"/>
      <c r="F37" s="10">
        <f t="shared" si="1"/>
        <v>45260</v>
      </c>
      <c r="G37" s="29">
        <v>8</v>
      </c>
      <c r="H37" s="41" t="s">
        <v>456</v>
      </c>
      <c r="I37" s="41"/>
      <c r="J37" s="10">
        <f t="shared" si="2"/>
        <v>45290</v>
      </c>
      <c r="K37" s="29" t="s">
        <v>12</v>
      </c>
      <c r="L37" s="41" t="s">
        <v>12</v>
      </c>
      <c r="M37" s="41"/>
      <c r="N37" s="10">
        <f t="shared" si="3"/>
        <v>45321</v>
      </c>
      <c r="O37" s="29">
        <v>14</v>
      </c>
      <c r="P37" s="41" t="s">
        <v>12</v>
      </c>
      <c r="Q37" s="42"/>
      <c r="R37" s="85"/>
      <c r="S37" s="86" t="s">
        <v>12</v>
      </c>
      <c r="T37" s="41" t="s">
        <v>12</v>
      </c>
      <c r="U37" s="41"/>
      <c r="V37" s="11">
        <f t="shared" si="5"/>
        <v>45381</v>
      </c>
      <c r="W37" s="29" t="s">
        <v>12</v>
      </c>
      <c r="X37" s="41" t="s">
        <v>12</v>
      </c>
      <c r="Y37" s="54"/>
      <c r="Z37" s="113">
        <v>30</v>
      </c>
    </row>
    <row r="38" spans="1:26" ht="100.35" customHeight="1">
      <c r="A38" s="118">
        <v>31</v>
      </c>
      <c r="B38" s="10">
        <f t="shared" si="0"/>
        <v>45230</v>
      </c>
      <c r="C38" s="119">
        <v>5</v>
      </c>
      <c r="D38" s="51" t="s">
        <v>12</v>
      </c>
      <c r="E38" s="51"/>
      <c r="F38" s="120"/>
      <c r="G38" s="121" t="s">
        <v>12</v>
      </c>
      <c r="H38" s="51" t="s">
        <v>12</v>
      </c>
      <c r="I38" s="51"/>
      <c r="J38" s="10">
        <f t="shared" si="2"/>
        <v>45291</v>
      </c>
      <c r="K38" s="119" t="s">
        <v>12</v>
      </c>
      <c r="L38" s="51" t="s">
        <v>12</v>
      </c>
      <c r="M38" s="51"/>
      <c r="N38" s="10">
        <f t="shared" si="3"/>
        <v>45322</v>
      </c>
      <c r="O38" s="119">
        <v>14</v>
      </c>
      <c r="P38" s="51"/>
      <c r="Q38" s="51"/>
      <c r="R38" s="120"/>
      <c r="S38" s="121" t="s">
        <v>12</v>
      </c>
      <c r="T38" s="51" t="s">
        <v>12</v>
      </c>
      <c r="U38" s="51"/>
      <c r="V38" s="11">
        <f t="shared" si="5"/>
        <v>45382</v>
      </c>
      <c r="W38" s="119" t="s">
        <v>12</v>
      </c>
      <c r="X38" s="51" t="s">
        <v>12</v>
      </c>
      <c r="Y38" s="122"/>
      <c r="Z38" s="123">
        <v>31</v>
      </c>
    </row>
    <row r="39" spans="1:26" ht="20.25" customHeight="1">
      <c r="P39" s="49"/>
      <c r="Q39" s="49"/>
    </row>
  </sheetData>
  <mergeCells count="11">
    <mergeCell ref="V6:X6"/>
    <mergeCell ref="H1:J1"/>
    <mergeCell ref="K1:T1"/>
    <mergeCell ref="U1:Y1"/>
    <mergeCell ref="D4:E4"/>
    <mergeCell ref="H4:I4"/>
    <mergeCell ref="B6:D6"/>
    <mergeCell ref="F6:H6"/>
    <mergeCell ref="J6:L6"/>
    <mergeCell ref="N6:P6"/>
    <mergeCell ref="R6:T6"/>
  </mergeCells>
  <phoneticPr fontId="19"/>
  <conditionalFormatting sqref="C8:C15 C17:C38 S20:S23 S25:S29">
    <cfRule type="expression" dxfId="32" priority="26">
      <formula>WEEKDAY(B8)=1</formula>
    </cfRule>
    <cfRule type="expression" dxfId="31" priority="27">
      <formula>WEEKDAY(B8)=7</formula>
    </cfRule>
    <cfRule type="expression" dxfId="30" priority="28">
      <formula>WEEKDAY(B8)&lt;&gt;7</formula>
    </cfRule>
  </conditionalFormatting>
  <conditionalFormatting sqref="C8:C15 C17:C38 S20:S29">
    <cfRule type="expression" dxfId="29" priority="25">
      <formula>C8&lt;&gt;#REF!</formula>
    </cfRule>
  </conditionalFormatting>
  <conditionalFormatting sqref="G8:G9 G11:G28 G31:G37">
    <cfRule type="expression" dxfId="28" priority="17">
      <formula>G8&lt;&gt;#REF!</formula>
    </cfRule>
    <cfRule type="expression" dxfId="27" priority="18">
      <formula>WEEKDAY(F8)=1</formula>
    </cfRule>
    <cfRule type="expression" dxfId="26" priority="19">
      <formula>WEEKDAY(F8)=7</formula>
    </cfRule>
    <cfRule type="expression" dxfId="25" priority="20">
      <formula>WEEKDAY(F8)&lt;&gt;7</formula>
    </cfRule>
  </conditionalFormatting>
  <conditionalFormatting sqref="K8:K13 K15:K38">
    <cfRule type="expression" dxfId="24" priority="13">
      <formula>K8&lt;&gt;#REF!</formula>
    </cfRule>
    <cfRule type="expression" dxfId="23" priority="14">
      <formula>WEEKDAY(J8)=1</formula>
    </cfRule>
    <cfRule type="expression" dxfId="22" priority="15">
      <formula>WEEKDAY(J8)=7</formula>
    </cfRule>
    <cfRule type="expression" dxfId="21" priority="16">
      <formula>WEEKDAY(J8)&lt;&gt;7</formula>
    </cfRule>
  </conditionalFormatting>
  <conditionalFormatting sqref="O9:O14 O16:O38">
    <cfRule type="expression" dxfId="20" priority="21">
      <formula>O9&lt;&gt;#REF!</formula>
    </cfRule>
    <cfRule type="expression" dxfId="19" priority="22">
      <formula>WEEKDAY(N9)=1</formula>
    </cfRule>
    <cfRule type="expression" dxfId="18" priority="23">
      <formula>WEEKDAY(N9)=7</formula>
    </cfRule>
    <cfRule type="expression" dxfId="17" priority="24">
      <formula>WEEKDAY(N9)&lt;&gt;7</formula>
    </cfRule>
  </conditionalFormatting>
  <conditionalFormatting sqref="S8:S18">
    <cfRule type="expression" dxfId="16" priority="9">
      <formula>S8&lt;&gt;#REF!</formula>
    </cfRule>
    <cfRule type="expression" dxfId="15" priority="10">
      <formula>WEEKDAY(R8)=1</formula>
    </cfRule>
    <cfRule type="expression" dxfId="14" priority="11">
      <formula>WEEKDAY(R8)=7</formula>
    </cfRule>
    <cfRule type="expression" dxfId="13" priority="12">
      <formula>WEEKDAY(R8)&lt;&gt;7</formula>
    </cfRule>
  </conditionalFormatting>
  <conditionalFormatting sqref="S24">
    <cfRule type="expression" dxfId="12" priority="31">
      <formula>WEEKDAY(Q24)=1</formula>
    </cfRule>
    <cfRule type="expression" dxfId="11" priority="33">
      <formula>WEEKDAY(Q24)=7</formula>
    </cfRule>
    <cfRule type="expression" dxfId="10" priority="35">
      <formula>WEEKDAY(Q24)&lt;&gt;7</formula>
    </cfRule>
  </conditionalFormatting>
  <conditionalFormatting sqref="S31:S36">
    <cfRule type="expression" dxfId="9" priority="1">
      <formula>S31&lt;&gt;#REF!</formula>
    </cfRule>
    <cfRule type="expression" dxfId="8" priority="2">
      <formula>WEEKDAY(R31)=1</formula>
    </cfRule>
    <cfRule type="expression" dxfId="7" priority="3">
      <formula>WEEKDAY(R31)=7</formula>
    </cfRule>
    <cfRule type="expression" dxfId="6" priority="4">
      <formula>WEEKDAY(R31)&lt;&gt;7</formula>
    </cfRule>
  </conditionalFormatting>
  <conditionalFormatting sqref="W8:W26 W28:W38">
    <cfRule type="expression" dxfId="5" priority="5">
      <formula>W8&lt;&gt;#REF!</formula>
    </cfRule>
    <cfRule type="expression" dxfId="4" priority="6">
      <formula>WEEKDAY(V8)=1</formula>
    </cfRule>
    <cfRule type="expression" dxfId="3" priority="7">
      <formula>WEEKDAY(V8)=7</formula>
    </cfRule>
    <cfRule type="expression" dxfId="2" priority="8">
      <formula>WEEKDAY(V8)&lt;&gt;7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22" orientation="landscape" r:id="rId1"/>
  <headerFooter scaleWithDoc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9C87-E8AF-48EC-B9F0-B2B4D316743A}">
  <dimension ref="A1"/>
  <sheetViews>
    <sheetView workbookViewId="0">
      <selection activeCell="P40" sqref="P40"/>
    </sheetView>
  </sheetViews>
  <sheetFormatPr defaultColWidth="8.875" defaultRowHeight="14.25"/>
  <sheetData/>
  <phoneticPr fontId="1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pageSetUpPr fitToPage="1"/>
  </sheetPr>
  <dimension ref="A1:AA40"/>
  <sheetViews>
    <sheetView showGridLines="0" topLeftCell="I10" zoomScaleNormal="100" zoomScalePageLayoutView="40" workbookViewId="0">
      <selection activeCell="W35" sqref="W35"/>
    </sheetView>
  </sheetViews>
  <sheetFormatPr defaultColWidth="13" defaultRowHeight="28.5" customHeight="1" outlineLevelRow="1"/>
  <cols>
    <col min="1" max="1" width="10.125" style="18" customWidth="1"/>
    <col min="2" max="2" width="5.625" style="18" customWidth="1"/>
    <col min="3" max="3" width="37.5" style="21" customWidth="1"/>
    <col min="4" max="4" width="5.625" style="18" customWidth="1"/>
    <col min="5" max="5" width="37.5" style="21" customWidth="1"/>
    <col min="6" max="6" width="5.625" style="18" customWidth="1"/>
    <col min="7" max="7" width="37.5" style="21" customWidth="1"/>
    <col min="8" max="8" width="5.625" style="18" customWidth="1"/>
    <col min="9" max="9" width="37.5" style="21" customWidth="1"/>
    <col min="10" max="10" width="5.625" style="18" customWidth="1"/>
    <col min="11" max="11" width="37.5" style="21" customWidth="1"/>
    <col min="12" max="12" width="5.625" style="18" customWidth="1"/>
    <col min="13" max="13" width="37.5" style="21" customWidth="1"/>
    <col min="14" max="14" width="5.625" style="18" customWidth="1"/>
    <col min="15" max="15" width="37.5" style="21" customWidth="1"/>
    <col min="16" max="16" width="5.625" style="18" customWidth="1"/>
    <col min="17" max="17" width="37.5" style="21" customWidth="1"/>
    <col min="18" max="18" width="5.625" style="18" customWidth="1"/>
    <col min="19" max="19" width="37.5" style="21" customWidth="1"/>
    <col min="20" max="20" width="5.625" style="18" customWidth="1"/>
    <col min="21" max="21" width="37.5" style="21" customWidth="1"/>
    <col min="22" max="22" width="5.625" style="18" customWidth="1"/>
    <col min="23" max="23" width="37.5" style="21" customWidth="1"/>
    <col min="24" max="24" width="5.625" style="18" customWidth="1"/>
    <col min="25" max="25" width="37.5" style="21" customWidth="1"/>
    <col min="26" max="26" width="10.125" style="18" customWidth="1"/>
    <col min="27" max="16384" width="13" style="21"/>
  </cols>
  <sheetData>
    <row r="1" spans="1:27" s="93" customFormat="1" ht="28.35" hidden="1" customHeight="1" outlineLevel="1">
      <c r="A1" s="92"/>
      <c r="B1" s="399" t="s">
        <v>457</v>
      </c>
      <c r="C1" s="399"/>
      <c r="D1" s="399"/>
      <c r="E1" s="399"/>
      <c r="F1" s="92"/>
      <c r="H1" s="92"/>
      <c r="I1" s="399"/>
      <c r="J1" s="399"/>
      <c r="K1" s="399"/>
      <c r="L1" s="399"/>
      <c r="M1" s="92"/>
      <c r="O1" s="399" t="s">
        <v>457</v>
      </c>
      <c r="P1" s="399"/>
      <c r="Q1" s="399"/>
      <c r="R1" s="399"/>
      <c r="S1" s="92"/>
      <c r="U1" s="399"/>
      <c r="V1" s="399"/>
      <c r="W1" s="399"/>
      <c r="X1" s="399"/>
      <c r="Y1" s="92"/>
    </row>
    <row r="2" spans="1:27" s="93" customFormat="1" ht="57" hidden="1" customHeight="1" outlineLevel="1">
      <c r="A2" s="92"/>
      <c r="B2" s="92"/>
      <c r="E2" s="400"/>
      <c r="F2" s="400"/>
      <c r="G2" s="400"/>
      <c r="H2" s="92"/>
      <c r="I2" s="92"/>
      <c r="K2" s="401" t="s">
        <v>458</v>
      </c>
      <c r="L2" s="401"/>
      <c r="M2" s="401"/>
      <c r="N2" s="95"/>
      <c r="O2" s="92"/>
      <c r="Q2" s="400"/>
      <c r="R2" s="400"/>
      <c r="S2" s="400"/>
      <c r="T2" s="95"/>
      <c r="U2" s="92"/>
      <c r="W2" s="401" t="s">
        <v>458</v>
      </c>
      <c r="X2" s="401"/>
      <c r="Y2" s="401"/>
      <c r="Z2" s="401"/>
    </row>
    <row r="3" spans="1:27" s="93" customFormat="1" ht="57" hidden="1" customHeight="1" outlineLevel="1">
      <c r="A3" s="92"/>
      <c r="B3" s="92"/>
      <c r="C3" s="398" t="str">
        <f>$I5&amp;$L$5&amp;"(前期）"</f>
        <v>2025年度　行事予定表(前期）</v>
      </c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92"/>
      <c r="O3" s="398" t="str">
        <f>$I5&amp;$L$5&amp;"(後期）"</f>
        <v>2025年度　行事予定表(後期）</v>
      </c>
      <c r="P3" s="398"/>
      <c r="Q3" s="398"/>
      <c r="R3" s="398"/>
      <c r="S3" s="398"/>
      <c r="T3" s="398"/>
      <c r="U3" s="398"/>
      <c r="V3" s="398"/>
      <c r="W3" s="398"/>
      <c r="X3" s="398"/>
      <c r="Y3" s="398"/>
    </row>
    <row r="4" spans="1:27" s="93" customFormat="1" ht="57" customHeight="1" collapsed="1">
      <c r="A4" s="92"/>
      <c r="B4" s="92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2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</row>
    <row r="5" spans="1:27" s="13" customFormat="1" ht="55.5" customHeight="1">
      <c r="B5" s="393" t="s">
        <v>457</v>
      </c>
      <c r="C5" s="393"/>
      <c r="D5" s="393"/>
      <c r="E5" s="14">
        <v>2019</v>
      </c>
      <c r="F5" s="15"/>
      <c r="G5" s="16">
        <v>2019</v>
      </c>
      <c r="H5" s="17"/>
      <c r="I5" s="394">
        <v>2025</v>
      </c>
      <c r="J5" s="394"/>
      <c r="K5" s="394"/>
      <c r="L5" s="396" t="s">
        <v>459</v>
      </c>
      <c r="M5" s="396"/>
      <c r="N5" s="396"/>
      <c r="O5" s="396"/>
      <c r="P5" s="396"/>
      <c r="Q5" s="396"/>
      <c r="R5" s="396"/>
      <c r="S5" s="396"/>
      <c r="T5" s="396"/>
      <c r="U5" s="385" t="s">
        <v>2</v>
      </c>
      <c r="V5" s="385"/>
      <c r="W5" s="385"/>
      <c r="X5" s="385"/>
      <c r="Y5" s="385"/>
      <c r="Z5" s="17"/>
      <c r="AA5" s="17"/>
    </row>
    <row r="6" spans="1:27" ht="32.25">
      <c r="C6" s="19"/>
      <c r="E6" s="20"/>
      <c r="M6" s="22"/>
      <c r="X6" s="395" t="s">
        <v>460</v>
      </c>
      <c r="Y6" s="395"/>
      <c r="Z6" s="23"/>
    </row>
    <row r="7" spans="1:27" ht="10.5" customHeight="1"/>
    <row r="8" spans="1:27" s="24" customFormat="1" ht="50.1" customHeight="1">
      <c r="A8" s="106"/>
      <c r="B8" s="397">
        <v>4</v>
      </c>
      <c r="C8" s="397"/>
      <c r="D8" s="392">
        <v>5</v>
      </c>
      <c r="E8" s="392"/>
      <c r="F8" s="392">
        <v>6</v>
      </c>
      <c r="G8" s="392"/>
      <c r="H8" s="392">
        <v>7</v>
      </c>
      <c r="I8" s="392"/>
      <c r="J8" s="392">
        <v>8</v>
      </c>
      <c r="K8" s="392"/>
      <c r="L8" s="392">
        <v>9</v>
      </c>
      <c r="M8" s="392"/>
      <c r="N8" s="392">
        <v>10</v>
      </c>
      <c r="O8" s="392"/>
      <c r="P8" s="392">
        <v>11</v>
      </c>
      <c r="Q8" s="392"/>
      <c r="R8" s="392">
        <v>12</v>
      </c>
      <c r="S8" s="392"/>
      <c r="T8" s="392">
        <v>1</v>
      </c>
      <c r="U8" s="392"/>
      <c r="V8" s="392">
        <v>2</v>
      </c>
      <c r="W8" s="392"/>
      <c r="X8" s="392">
        <v>3</v>
      </c>
      <c r="Y8" s="392"/>
      <c r="Z8" s="139"/>
    </row>
    <row r="9" spans="1:27" ht="57" customHeight="1">
      <c r="A9" s="104">
        <v>1</v>
      </c>
      <c r="B9" s="137" t="s">
        <v>461</v>
      </c>
      <c r="C9" s="41" t="s">
        <v>462</v>
      </c>
      <c r="D9" s="234" t="s">
        <v>463</v>
      </c>
      <c r="E9" s="42"/>
      <c r="F9" s="137" t="s">
        <v>464</v>
      </c>
      <c r="G9" s="50"/>
      <c r="H9" s="137" t="s">
        <v>461</v>
      </c>
      <c r="I9" s="60"/>
      <c r="J9" s="137" t="s">
        <v>465</v>
      </c>
      <c r="K9" s="298" t="s">
        <v>466</v>
      </c>
      <c r="L9" s="137" t="s">
        <v>467</v>
      </c>
      <c r="M9" s="41"/>
      <c r="N9" s="137" t="s">
        <v>468</v>
      </c>
      <c r="O9" s="41" t="s">
        <v>469</v>
      </c>
      <c r="P9" s="138" t="s">
        <v>470</v>
      </c>
      <c r="Q9" s="189"/>
      <c r="R9" s="138" t="s">
        <v>467</v>
      </c>
      <c r="S9" s="41" t="s">
        <v>471</v>
      </c>
      <c r="T9" s="138" t="s">
        <v>463</v>
      </c>
      <c r="U9" s="46" t="s">
        <v>349</v>
      </c>
      <c r="V9" s="138" t="s">
        <v>464</v>
      </c>
      <c r="W9" s="50"/>
      <c r="X9" s="138" t="s">
        <v>464</v>
      </c>
      <c r="Y9" s="50"/>
      <c r="Z9" s="104">
        <v>1</v>
      </c>
    </row>
    <row r="10" spans="1:27" ht="135" customHeight="1">
      <c r="A10" s="105">
        <v>2</v>
      </c>
      <c r="B10" s="137" t="s">
        <v>472</v>
      </c>
      <c r="C10" s="41"/>
      <c r="D10" s="234" t="s">
        <v>473</v>
      </c>
      <c r="E10" s="41" t="s">
        <v>474</v>
      </c>
      <c r="F10" s="137" t="s">
        <v>9</v>
      </c>
      <c r="G10" s="58"/>
      <c r="H10" s="137" t="s">
        <v>472</v>
      </c>
      <c r="I10" s="101" t="s">
        <v>475</v>
      </c>
      <c r="J10" s="137" t="s">
        <v>476</v>
      </c>
      <c r="K10" s="238"/>
      <c r="L10" s="137" t="s">
        <v>477</v>
      </c>
      <c r="M10" s="41" t="s">
        <v>12</v>
      </c>
      <c r="N10" s="137" t="s">
        <v>478</v>
      </c>
      <c r="O10" s="41"/>
      <c r="P10" s="138" t="s">
        <v>479</v>
      </c>
      <c r="Q10" s="67"/>
      <c r="R10" s="138" t="s">
        <v>477</v>
      </c>
      <c r="S10" s="41" t="s">
        <v>480</v>
      </c>
      <c r="T10" s="138" t="s">
        <v>473</v>
      </c>
      <c r="U10" s="46" t="s">
        <v>357</v>
      </c>
      <c r="V10" s="138" t="s">
        <v>9</v>
      </c>
      <c r="W10" s="50"/>
      <c r="X10" s="138" t="s">
        <v>9</v>
      </c>
      <c r="Y10" s="46" t="s">
        <v>481</v>
      </c>
      <c r="Z10" s="105">
        <v>2</v>
      </c>
    </row>
    <row r="11" spans="1:27" ht="57" customHeight="1">
      <c r="A11" s="105">
        <v>3</v>
      </c>
      <c r="B11" s="137" t="s">
        <v>478</v>
      </c>
      <c r="C11" s="42"/>
      <c r="D11" s="234" t="s">
        <v>476</v>
      </c>
      <c r="E11" s="46" t="s">
        <v>21</v>
      </c>
      <c r="F11" s="137" t="s">
        <v>477</v>
      </c>
      <c r="G11" s="59"/>
      <c r="H11" s="137" t="s">
        <v>478</v>
      </c>
      <c r="I11" s="209"/>
      <c r="J11" s="137" t="s">
        <v>479</v>
      </c>
      <c r="K11" s="60"/>
      <c r="L11" s="137" t="s">
        <v>472</v>
      </c>
      <c r="M11" s="41"/>
      <c r="N11" s="137" t="s">
        <v>473</v>
      </c>
      <c r="O11" s="41"/>
      <c r="P11" s="138" t="s">
        <v>9</v>
      </c>
      <c r="Q11" s="46" t="s">
        <v>482</v>
      </c>
      <c r="R11" s="138" t="s">
        <v>472</v>
      </c>
      <c r="S11" s="41" t="s">
        <v>483</v>
      </c>
      <c r="T11" s="138" t="s">
        <v>476</v>
      </c>
      <c r="U11" s="46" t="s">
        <v>357</v>
      </c>
      <c r="V11" s="138" t="s">
        <v>477</v>
      </c>
      <c r="W11" s="50" t="s">
        <v>484</v>
      </c>
      <c r="X11" s="138" t="s">
        <v>477</v>
      </c>
      <c r="Y11" s="41"/>
      <c r="Z11" s="105">
        <v>3</v>
      </c>
    </row>
    <row r="12" spans="1:27" ht="78" customHeight="1">
      <c r="A12" s="105">
        <v>4</v>
      </c>
      <c r="B12" s="137" t="s">
        <v>473</v>
      </c>
      <c r="C12" s="42"/>
      <c r="D12" s="234" t="s">
        <v>479</v>
      </c>
      <c r="E12" s="46" t="s">
        <v>252</v>
      </c>
      <c r="F12" s="137" t="s">
        <v>472</v>
      </c>
      <c r="G12" s="50" t="s">
        <v>485</v>
      </c>
      <c r="H12" s="137" t="s">
        <v>473</v>
      </c>
      <c r="I12" s="41" t="s">
        <v>22</v>
      </c>
      <c r="J12" s="137" t="s">
        <v>9</v>
      </c>
      <c r="K12" s="41" t="s">
        <v>486</v>
      </c>
      <c r="L12" s="137" t="s">
        <v>478</v>
      </c>
      <c r="M12" s="41"/>
      <c r="N12" s="137" t="s">
        <v>476</v>
      </c>
      <c r="O12" s="42"/>
      <c r="P12" s="138" t="s">
        <v>477</v>
      </c>
      <c r="Q12" s="46"/>
      <c r="R12" s="138" t="s">
        <v>478</v>
      </c>
      <c r="S12" s="41" t="s">
        <v>487</v>
      </c>
      <c r="T12" s="138" t="s">
        <v>479</v>
      </c>
      <c r="U12" s="41"/>
      <c r="V12" s="138" t="s">
        <v>472</v>
      </c>
      <c r="W12" s="50" t="s">
        <v>365</v>
      </c>
      <c r="X12" s="138" t="s">
        <v>472</v>
      </c>
      <c r="Y12" s="41"/>
      <c r="Z12" s="105">
        <v>4</v>
      </c>
    </row>
    <row r="13" spans="1:27" ht="83.45" customHeight="1">
      <c r="A13" s="105">
        <v>5</v>
      </c>
      <c r="B13" s="137" t="s">
        <v>476</v>
      </c>
      <c r="C13" s="42"/>
      <c r="D13" s="234" t="s">
        <v>9</v>
      </c>
      <c r="E13" s="46" t="s">
        <v>256</v>
      </c>
      <c r="F13" s="137" t="s">
        <v>478</v>
      </c>
      <c r="G13" s="307" t="s">
        <v>488</v>
      </c>
      <c r="H13" s="137" t="s">
        <v>476</v>
      </c>
      <c r="I13" s="209"/>
      <c r="J13" s="137" t="s">
        <v>477</v>
      </c>
      <c r="K13" s="60" t="s">
        <v>489</v>
      </c>
      <c r="L13" s="137" t="s">
        <v>473</v>
      </c>
      <c r="M13" s="41"/>
      <c r="N13" s="137" t="s">
        <v>479</v>
      </c>
      <c r="O13" s="42"/>
      <c r="P13" s="138" t="s">
        <v>472</v>
      </c>
      <c r="Q13" s="41"/>
      <c r="R13" s="138" t="s">
        <v>473</v>
      </c>
      <c r="S13" s="50" t="s">
        <v>490</v>
      </c>
      <c r="T13" s="138" t="s">
        <v>9</v>
      </c>
      <c r="U13" s="41"/>
      <c r="V13" s="138" t="s">
        <v>478</v>
      </c>
      <c r="W13" s="246" t="s">
        <v>365</v>
      </c>
      <c r="X13" s="138" t="s">
        <v>478</v>
      </c>
      <c r="Y13" s="41"/>
      <c r="Z13" s="105">
        <v>5</v>
      </c>
    </row>
    <row r="14" spans="1:27" ht="98.45" customHeight="1">
      <c r="A14" s="105">
        <v>6</v>
      </c>
      <c r="B14" s="137" t="s">
        <v>479</v>
      </c>
      <c r="C14" s="42" t="s">
        <v>491</v>
      </c>
      <c r="D14" s="234" t="s">
        <v>477</v>
      </c>
      <c r="E14" s="46" t="s">
        <v>492</v>
      </c>
      <c r="F14" s="137" t="s">
        <v>473</v>
      </c>
      <c r="G14" s="41" t="s">
        <v>493</v>
      </c>
      <c r="H14" s="137" t="s">
        <v>479</v>
      </c>
      <c r="I14" s="53"/>
      <c r="J14" s="137" t="s">
        <v>472</v>
      </c>
      <c r="K14" s="189" t="s">
        <v>494</v>
      </c>
      <c r="L14" s="137" t="s">
        <v>476</v>
      </c>
      <c r="M14" s="41"/>
      <c r="N14" s="137" t="s">
        <v>9</v>
      </c>
      <c r="O14" s="41"/>
      <c r="P14" s="138" t="s">
        <v>478</v>
      </c>
      <c r="Q14" s="42" t="s">
        <v>495</v>
      </c>
      <c r="R14" s="138" t="s">
        <v>476</v>
      </c>
      <c r="S14" s="41"/>
      <c r="T14" s="138" t="s">
        <v>477</v>
      </c>
      <c r="U14" s="41"/>
      <c r="V14" s="138" t="s">
        <v>473</v>
      </c>
      <c r="W14" s="96" t="s">
        <v>496</v>
      </c>
      <c r="X14" s="138" t="s">
        <v>473</v>
      </c>
      <c r="Y14" s="50" t="s">
        <v>497</v>
      </c>
      <c r="Z14" s="105">
        <v>6</v>
      </c>
    </row>
    <row r="15" spans="1:27" ht="81" customHeight="1">
      <c r="A15" s="105">
        <v>7</v>
      </c>
      <c r="B15" s="137" t="s">
        <v>9</v>
      </c>
      <c r="C15" s="42" t="s">
        <v>35</v>
      </c>
      <c r="D15" s="234" t="s">
        <v>472</v>
      </c>
      <c r="E15" s="42"/>
      <c r="F15" s="137" t="s">
        <v>476</v>
      </c>
      <c r="G15" s="41"/>
      <c r="H15" s="137" t="s">
        <v>9</v>
      </c>
      <c r="I15" s="51"/>
      <c r="J15" s="137" t="s">
        <v>478</v>
      </c>
      <c r="K15" s="102" t="s">
        <v>498</v>
      </c>
      <c r="L15" s="137" t="s">
        <v>479</v>
      </c>
      <c r="M15" s="225"/>
      <c r="N15" s="137" t="s">
        <v>477</v>
      </c>
      <c r="O15" s="42"/>
      <c r="P15" s="138" t="s">
        <v>473</v>
      </c>
      <c r="Q15" s="42" t="s">
        <v>129</v>
      </c>
      <c r="R15" s="138" t="s">
        <v>479</v>
      </c>
      <c r="S15" s="42"/>
      <c r="T15" s="138" t="s">
        <v>472</v>
      </c>
      <c r="U15" s="102" t="s">
        <v>499</v>
      </c>
      <c r="V15" s="138" t="s">
        <v>476</v>
      </c>
      <c r="W15" s="45" t="s">
        <v>500</v>
      </c>
      <c r="X15" s="138" t="s">
        <v>476</v>
      </c>
      <c r="Y15" s="41"/>
      <c r="Z15" s="105">
        <v>7</v>
      </c>
    </row>
    <row r="16" spans="1:27" ht="118.35" customHeight="1">
      <c r="A16" s="105">
        <v>8</v>
      </c>
      <c r="B16" s="137" t="s">
        <v>477</v>
      </c>
      <c r="C16" s="97" t="s">
        <v>501</v>
      </c>
      <c r="D16" s="234" t="s">
        <v>478</v>
      </c>
      <c r="E16" s="42"/>
      <c r="F16" s="137" t="s">
        <v>479</v>
      </c>
      <c r="G16" s="41"/>
      <c r="H16" s="137" t="s">
        <v>477</v>
      </c>
      <c r="I16" s="221" t="s">
        <v>278</v>
      </c>
      <c r="J16" s="137" t="s">
        <v>473</v>
      </c>
      <c r="K16" s="241" t="s">
        <v>502</v>
      </c>
      <c r="L16" s="137" t="s">
        <v>9</v>
      </c>
      <c r="M16" s="41" t="s">
        <v>503</v>
      </c>
      <c r="N16" s="137" t="s">
        <v>472</v>
      </c>
      <c r="O16" s="41"/>
      <c r="P16" s="138" t="s">
        <v>476</v>
      </c>
      <c r="Q16" s="42" t="s">
        <v>131</v>
      </c>
      <c r="R16" s="138" t="s">
        <v>9</v>
      </c>
      <c r="S16" s="41"/>
      <c r="T16" s="138" t="s">
        <v>478</v>
      </c>
      <c r="U16" s="97"/>
      <c r="V16" s="138" t="s">
        <v>479</v>
      </c>
      <c r="W16" s="45" t="s">
        <v>504</v>
      </c>
      <c r="X16" s="138" t="s">
        <v>479</v>
      </c>
      <c r="Y16" s="41" t="s">
        <v>12</v>
      </c>
      <c r="Z16" s="105">
        <v>8</v>
      </c>
    </row>
    <row r="17" spans="1:26" ht="99.6" customHeight="1">
      <c r="A17" s="105">
        <v>9</v>
      </c>
      <c r="B17" s="137" t="s">
        <v>472</v>
      </c>
      <c r="C17" s="287" t="s">
        <v>505</v>
      </c>
      <c r="D17" s="234" t="s">
        <v>473</v>
      </c>
      <c r="E17" s="41" t="s">
        <v>326</v>
      </c>
      <c r="F17" s="137" t="s">
        <v>9</v>
      </c>
      <c r="G17" s="45" t="s">
        <v>506</v>
      </c>
      <c r="H17" s="137" t="s">
        <v>472</v>
      </c>
      <c r="I17" s="97" t="s">
        <v>507</v>
      </c>
      <c r="J17" s="137" t="s">
        <v>476</v>
      </c>
      <c r="K17" s="239" t="s">
        <v>508</v>
      </c>
      <c r="L17" s="137" t="s">
        <v>477</v>
      </c>
      <c r="M17" s="243"/>
      <c r="N17" s="137" t="s">
        <v>478</v>
      </c>
      <c r="O17" s="43"/>
      <c r="P17" s="138" t="s">
        <v>479</v>
      </c>
      <c r="Q17" s="41" t="s">
        <v>132</v>
      </c>
      <c r="R17" s="138" t="s">
        <v>477</v>
      </c>
      <c r="S17" s="45"/>
      <c r="T17" s="138" t="s">
        <v>473</v>
      </c>
      <c r="U17" s="102"/>
      <c r="V17" s="138" t="s">
        <v>9</v>
      </c>
      <c r="W17" s="122" t="s">
        <v>509</v>
      </c>
      <c r="X17" s="138" t="s">
        <v>9</v>
      </c>
      <c r="Y17" s="41"/>
      <c r="Z17" s="105">
        <v>9</v>
      </c>
    </row>
    <row r="18" spans="1:26" ht="128.44999999999999" customHeight="1">
      <c r="A18" s="105">
        <v>10</v>
      </c>
      <c r="B18" s="137" t="s">
        <v>478</v>
      </c>
      <c r="C18" s="200" t="s">
        <v>510</v>
      </c>
      <c r="D18" s="234" t="s">
        <v>476</v>
      </c>
      <c r="E18" s="97"/>
      <c r="F18" s="137" t="s">
        <v>477</v>
      </c>
      <c r="G18" s="45" t="s">
        <v>511</v>
      </c>
      <c r="H18" s="137" t="s">
        <v>478</v>
      </c>
      <c r="I18" s="41"/>
      <c r="J18" s="137" t="s">
        <v>479</v>
      </c>
      <c r="K18" s="240"/>
      <c r="L18" s="137" t="s">
        <v>472</v>
      </c>
      <c r="M18" s="45"/>
      <c r="N18" s="137" t="s">
        <v>473</v>
      </c>
      <c r="O18" s="43"/>
      <c r="P18" s="138" t="s">
        <v>9</v>
      </c>
      <c r="Q18" s="45" t="s">
        <v>512</v>
      </c>
      <c r="R18" s="138" t="s">
        <v>472</v>
      </c>
      <c r="S18" s="97" t="s">
        <v>513</v>
      </c>
      <c r="T18" s="138" t="s">
        <v>476</v>
      </c>
      <c r="U18" s="102"/>
      <c r="V18" s="138" t="s">
        <v>477</v>
      </c>
      <c r="W18" s="43" t="s">
        <v>514</v>
      </c>
      <c r="X18" s="138" t="s">
        <v>477</v>
      </c>
      <c r="Y18" s="102" t="s">
        <v>115</v>
      </c>
      <c r="Z18" s="105">
        <v>10</v>
      </c>
    </row>
    <row r="19" spans="1:26" ht="72" customHeight="1">
      <c r="A19" s="105">
        <v>11</v>
      </c>
      <c r="B19" s="137" t="s">
        <v>473</v>
      </c>
      <c r="C19" s="209" t="s">
        <v>18</v>
      </c>
      <c r="D19" s="234" t="s">
        <v>479</v>
      </c>
      <c r="E19" s="97"/>
      <c r="F19" s="137" t="s">
        <v>472</v>
      </c>
      <c r="G19" s="236" t="s">
        <v>49</v>
      </c>
      <c r="H19" s="137" t="s">
        <v>473</v>
      </c>
      <c r="I19" s="97"/>
      <c r="J19" s="137" t="s">
        <v>9</v>
      </c>
      <c r="K19" s="131" t="s">
        <v>55</v>
      </c>
      <c r="L19" s="137" t="s">
        <v>478</v>
      </c>
      <c r="M19" s="97" t="s">
        <v>515</v>
      </c>
      <c r="N19" s="137" t="s">
        <v>476</v>
      </c>
      <c r="O19" s="41" t="s">
        <v>135</v>
      </c>
      <c r="P19" s="138" t="s">
        <v>477</v>
      </c>
      <c r="Q19" s="42" t="s">
        <v>371</v>
      </c>
      <c r="R19" s="138" t="s">
        <v>478</v>
      </c>
      <c r="S19" s="41"/>
      <c r="T19" s="138" t="s">
        <v>479</v>
      </c>
      <c r="U19" s="97"/>
      <c r="V19" s="138" t="s">
        <v>472</v>
      </c>
      <c r="W19" s="131" t="s">
        <v>142</v>
      </c>
      <c r="X19" s="138" t="s">
        <v>472</v>
      </c>
      <c r="Y19" s="102" t="s">
        <v>120</v>
      </c>
      <c r="Z19" s="105">
        <v>11</v>
      </c>
    </row>
    <row r="20" spans="1:26" ht="86.45" customHeight="1">
      <c r="A20" s="105">
        <v>12</v>
      </c>
      <c r="B20" s="137" t="s">
        <v>476</v>
      </c>
      <c r="C20" s="200"/>
      <c r="D20" s="234" t="s">
        <v>9</v>
      </c>
      <c r="E20" s="99" t="s">
        <v>12</v>
      </c>
      <c r="F20" s="137" t="s">
        <v>478</v>
      </c>
      <c r="G20" s="235" t="s">
        <v>287</v>
      </c>
      <c r="H20" s="137" t="s">
        <v>476</v>
      </c>
      <c r="I20" s="41"/>
      <c r="J20" s="137" t="s">
        <v>477</v>
      </c>
      <c r="K20" s="131"/>
      <c r="L20" s="137" t="s">
        <v>473</v>
      </c>
      <c r="M20" s="43" t="s">
        <v>516</v>
      </c>
      <c r="N20" s="137" t="s">
        <v>479</v>
      </c>
      <c r="O20" s="45" t="s">
        <v>135</v>
      </c>
      <c r="P20" s="138" t="s">
        <v>472</v>
      </c>
      <c r="Q20" s="42" t="s">
        <v>371</v>
      </c>
      <c r="R20" s="138" t="s">
        <v>473</v>
      </c>
      <c r="S20" s="41" t="s">
        <v>517</v>
      </c>
      <c r="T20" s="138" t="s">
        <v>9</v>
      </c>
      <c r="U20" s="68" t="s">
        <v>141</v>
      </c>
      <c r="V20" s="138" t="s">
        <v>478</v>
      </c>
      <c r="W20" s="41" t="s">
        <v>518</v>
      </c>
      <c r="X20" s="138" t="s">
        <v>478</v>
      </c>
      <c r="Y20" s="102" t="s">
        <v>519</v>
      </c>
      <c r="Z20" s="105">
        <v>12</v>
      </c>
    </row>
    <row r="21" spans="1:26" ht="75.599999999999994" customHeight="1">
      <c r="A21" s="105">
        <v>13</v>
      </c>
      <c r="B21" s="137" t="s">
        <v>479</v>
      </c>
      <c r="C21" s="209"/>
      <c r="D21" s="234" t="s">
        <v>477</v>
      </c>
      <c r="E21" s="47" t="s">
        <v>12</v>
      </c>
      <c r="F21" s="137" t="s">
        <v>473</v>
      </c>
      <c r="G21" s="296" t="s">
        <v>520</v>
      </c>
      <c r="H21" s="137" t="s">
        <v>479</v>
      </c>
      <c r="I21" s="41"/>
      <c r="J21" s="137" t="s">
        <v>472</v>
      </c>
      <c r="K21" s="41" t="s">
        <v>12</v>
      </c>
      <c r="L21" s="137" t="s">
        <v>476</v>
      </c>
      <c r="M21" s="45"/>
      <c r="N21" s="137" t="s">
        <v>9</v>
      </c>
      <c r="O21" s="42" t="s">
        <v>521</v>
      </c>
      <c r="P21" s="138" t="s">
        <v>478</v>
      </c>
      <c r="Q21" s="41"/>
      <c r="R21" s="138" t="s">
        <v>476</v>
      </c>
      <c r="S21" s="46"/>
      <c r="T21" s="138" t="s">
        <v>477</v>
      </c>
      <c r="U21" s="216"/>
      <c r="V21" s="138" t="s">
        <v>473</v>
      </c>
      <c r="W21" s="173" t="s">
        <v>522</v>
      </c>
      <c r="X21" s="138" t="s">
        <v>473</v>
      </c>
      <c r="Y21" s="102" t="s">
        <v>147</v>
      </c>
      <c r="Z21" s="105">
        <v>13</v>
      </c>
    </row>
    <row r="22" spans="1:26" ht="57" customHeight="1">
      <c r="A22" s="105">
        <v>14</v>
      </c>
      <c r="B22" s="137" t="s">
        <v>9</v>
      </c>
      <c r="C22" s="197"/>
      <c r="D22" s="234" t="s">
        <v>472</v>
      </c>
      <c r="E22" s="47" t="s">
        <v>523</v>
      </c>
      <c r="F22" s="137" t="s">
        <v>476</v>
      </c>
      <c r="G22" s="115" t="s">
        <v>524</v>
      </c>
      <c r="H22" s="137" t="s">
        <v>9</v>
      </c>
      <c r="I22" s="41"/>
      <c r="J22" s="137" t="s">
        <v>478</v>
      </c>
      <c r="K22" s="41" t="s">
        <v>12</v>
      </c>
      <c r="L22" s="137" t="s">
        <v>479</v>
      </c>
      <c r="M22" s="96" t="s">
        <v>525</v>
      </c>
      <c r="N22" s="137" t="s">
        <v>477</v>
      </c>
      <c r="O22" s="126"/>
      <c r="P22" s="138" t="s">
        <v>473</v>
      </c>
      <c r="Q22" s="48" t="s">
        <v>12</v>
      </c>
      <c r="R22" s="138" t="s">
        <v>479</v>
      </c>
      <c r="S22" s="41"/>
      <c r="T22" s="138" t="s">
        <v>472</v>
      </c>
      <c r="U22" s="43" t="s">
        <v>526</v>
      </c>
      <c r="V22" s="138" t="s">
        <v>476</v>
      </c>
      <c r="W22" s="173" t="s">
        <v>500</v>
      </c>
      <c r="X22" s="138" t="s">
        <v>476</v>
      </c>
      <c r="Y22" s="102"/>
      <c r="Z22" s="105">
        <v>14</v>
      </c>
    </row>
    <row r="23" spans="1:26" ht="74.45" customHeight="1">
      <c r="A23" s="105">
        <v>15</v>
      </c>
      <c r="B23" s="137" t="s">
        <v>477</v>
      </c>
      <c r="C23" s="41" t="s">
        <v>527</v>
      </c>
      <c r="D23" s="234" t="s">
        <v>478</v>
      </c>
      <c r="E23" s="41" t="s">
        <v>528</v>
      </c>
      <c r="F23" s="137" t="s">
        <v>479</v>
      </c>
      <c r="G23" s="42"/>
      <c r="H23" s="137" t="s">
        <v>477</v>
      </c>
      <c r="I23" s="63"/>
      <c r="J23" s="137" t="s">
        <v>473</v>
      </c>
      <c r="K23" s="242"/>
      <c r="L23" s="137" t="s">
        <v>9</v>
      </c>
      <c r="M23" s="46" t="s">
        <v>78</v>
      </c>
      <c r="N23" s="137" t="s">
        <v>472</v>
      </c>
      <c r="O23" s="41" t="s">
        <v>529</v>
      </c>
      <c r="P23" s="138" t="s">
        <v>476</v>
      </c>
      <c r="Q23" s="43"/>
      <c r="R23" s="138" t="s">
        <v>9</v>
      </c>
      <c r="S23" s="47" t="s">
        <v>530</v>
      </c>
      <c r="T23" s="138" t="s">
        <v>478</v>
      </c>
      <c r="U23" s="42"/>
      <c r="V23" s="138" t="s">
        <v>479</v>
      </c>
      <c r="W23" s="41" t="s">
        <v>531</v>
      </c>
      <c r="X23" s="138" t="s">
        <v>479</v>
      </c>
      <c r="Y23" s="103"/>
      <c r="Z23" s="105">
        <v>15</v>
      </c>
    </row>
    <row r="24" spans="1:26" ht="73.349999999999994" customHeight="1">
      <c r="A24" s="105">
        <v>16</v>
      </c>
      <c r="B24" s="137" t="s">
        <v>472</v>
      </c>
      <c r="C24" s="41" t="s">
        <v>532</v>
      </c>
      <c r="D24" s="234" t="s">
        <v>473</v>
      </c>
      <c r="E24" s="45" t="s">
        <v>533</v>
      </c>
      <c r="F24" s="137" t="s">
        <v>9</v>
      </c>
      <c r="G24" s="42"/>
      <c r="H24" s="137" t="s">
        <v>472</v>
      </c>
      <c r="I24" s="41" t="s">
        <v>534</v>
      </c>
      <c r="J24" s="137" t="s">
        <v>476</v>
      </c>
      <c r="K24" s="41" t="s">
        <v>12</v>
      </c>
      <c r="L24" s="137" t="s">
        <v>477</v>
      </c>
      <c r="M24" s="45" t="s">
        <v>535</v>
      </c>
      <c r="N24" s="137" t="s">
        <v>478</v>
      </c>
      <c r="O24" s="45" t="s">
        <v>536</v>
      </c>
      <c r="P24" s="138" t="s">
        <v>479</v>
      </c>
      <c r="Q24" s="41" t="s">
        <v>448</v>
      </c>
      <c r="R24" s="138" t="s">
        <v>477</v>
      </c>
      <c r="S24" s="102" t="s">
        <v>530</v>
      </c>
      <c r="T24" s="138" t="s">
        <v>473</v>
      </c>
      <c r="U24" s="102" t="s">
        <v>537</v>
      </c>
      <c r="V24" s="138" t="s">
        <v>9</v>
      </c>
      <c r="W24" s="41" t="s">
        <v>538</v>
      </c>
      <c r="X24" s="138" t="s">
        <v>9</v>
      </c>
      <c r="Y24" s="43" t="s">
        <v>162</v>
      </c>
      <c r="Z24" s="105">
        <v>16</v>
      </c>
    </row>
    <row r="25" spans="1:26" ht="86.45" customHeight="1">
      <c r="A25" s="105">
        <v>17</v>
      </c>
      <c r="B25" s="137" t="s">
        <v>478</v>
      </c>
      <c r="C25" s="41" t="s">
        <v>539</v>
      </c>
      <c r="D25" s="234" t="s">
        <v>476</v>
      </c>
      <c r="E25" s="41"/>
      <c r="F25" s="137" t="s">
        <v>477</v>
      </c>
      <c r="G25" s="46"/>
      <c r="H25" s="137" t="s">
        <v>478</v>
      </c>
      <c r="I25" s="42"/>
      <c r="J25" s="137" t="s">
        <v>479</v>
      </c>
      <c r="K25" s="41"/>
      <c r="L25" s="137" t="s">
        <v>472</v>
      </c>
      <c r="M25" s="41" t="s">
        <v>540</v>
      </c>
      <c r="N25" s="137" t="s">
        <v>473</v>
      </c>
      <c r="O25" s="41"/>
      <c r="P25" s="138" t="s">
        <v>9</v>
      </c>
      <c r="Q25" s="41"/>
      <c r="R25" s="138" t="s">
        <v>472</v>
      </c>
      <c r="S25" s="134" t="s">
        <v>541</v>
      </c>
      <c r="T25" s="138" t="s">
        <v>476</v>
      </c>
      <c r="U25" s="97" t="s">
        <v>542</v>
      </c>
      <c r="V25" s="138" t="s">
        <v>477</v>
      </c>
      <c r="W25" s="41" t="s">
        <v>543</v>
      </c>
      <c r="X25" s="138" t="s">
        <v>477</v>
      </c>
      <c r="Y25" s="102"/>
      <c r="Z25" s="105">
        <v>17</v>
      </c>
    </row>
    <row r="26" spans="1:26" ht="66" customHeight="1">
      <c r="A26" s="105">
        <v>18</v>
      </c>
      <c r="B26" s="137" t="s">
        <v>473</v>
      </c>
      <c r="C26" s="43" t="s">
        <v>544</v>
      </c>
      <c r="D26" s="234" t="s">
        <v>479</v>
      </c>
      <c r="E26" s="45"/>
      <c r="F26" s="137" t="s">
        <v>472</v>
      </c>
      <c r="G26" s="115" t="s">
        <v>545</v>
      </c>
      <c r="H26" s="137" t="s">
        <v>473</v>
      </c>
      <c r="I26" s="98"/>
      <c r="J26" s="137" t="s">
        <v>9</v>
      </c>
      <c r="K26" s="45"/>
      <c r="L26" s="137" t="s">
        <v>478</v>
      </c>
      <c r="M26" s="97" t="s">
        <v>540</v>
      </c>
      <c r="N26" s="137" t="s">
        <v>476</v>
      </c>
      <c r="O26" s="42"/>
      <c r="P26" s="138" t="s">
        <v>477</v>
      </c>
      <c r="Q26" s="43"/>
      <c r="R26" s="138" t="s">
        <v>478</v>
      </c>
      <c r="S26" s="245"/>
      <c r="T26" s="138" t="s">
        <v>479</v>
      </c>
      <c r="U26" s="43" t="s">
        <v>546</v>
      </c>
      <c r="V26" s="138" t="s">
        <v>472</v>
      </c>
      <c r="W26" s="291" t="s">
        <v>547</v>
      </c>
      <c r="X26" s="138" t="s">
        <v>472</v>
      </c>
      <c r="Y26" s="102"/>
      <c r="Z26" s="105">
        <v>18</v>
      </c>
    </row>
    <row r="27" spans="1:26" ht="57" customHeight="1">
      <c r="A27" s="105">
        <v>19</v>
      </c>
      <c r="B27" s="137" t="s">
        <v>476</v>
      </c>
      <c r="C27" s="41"/>
      <c r="D27" s="234" t="s">
        <v>9</v>
      </c>
      <c r="E27" s="45"/>
      <c r="F27" s="137" t="s">
        <v>478</v>
      </c>
      <c r="G27" s="231"/>
      <c r="H27" s="137" t="s">
        <v>476</v>
      </c>
      <c r="I27" s="97"/>
      <c r="J27" s="137" t="s">
        <v>477</v>
      </c>
      <c r="K27" s="45"/>
      <c r="L27" s="137" t="s">
        <v>473</v>
      </c>
      <c r="M27" s="43" t="s">
        <v>540</v>
      </c>
      <c r="N27" s="137" t="s">
        <v>479</v>
      </c>
      <c r="O27" s="102"/>
      <c r="P27" s="138" t="s">
        <v>472</v>
      </c>
      <c r="Q27" s="51" t="s">
        <v>548</v>
      </c>
      <c r="R27" s="138" t="s">
        <v>473</v>
      </c>
      <c r="S27" s="134"/>
      <c r="T27" s="138" t="s">
        <v>9</v>
      </c>
      <c r="U27" s="41"/>
      <c r="V27" s="138" t="s">
        <v>478</v>
      </c>
      <c r="W27" s="97" t="s">
        <v>540</v>
      </c>
      <c r="X27" s="138" t="s">
        <v>478</v>
      </c>
      <c r="Y27" s="102"/>
      <c r="Z27" s="105">
        <v>19</v>
      </c>
    </row>
    <row r="28" spans="1:26" ht="57" customHeight="1">
      <c r="A28" s="105">
        <v>20</v>
      </c>
      <c r="B28" s="137" t="s">
        <v>479</v>
      </c>
      <c r="C28" s="41"/>
      <c r="D28" s="234" t="s">
        <v>477</v>
      </c>
      <c r="E28" s="97" t="s">
        <v>12</v>
      </c>
      <c r="F28" s="137" t="s">
        <v>473</v>
      </c>
      <c r="G28" s="166"/>
      <c r="H28" s="137" t="s">
        <v>479</v>
      </c>
      <c r="I28" s="97"/>
      <c r="J28" s="137" t="s">
        <v>472</v>
      </c>
      <c r="K28" s="97" t="s">
        <v>12</v>
      </c>
      <c r="L28" s="137" t="s">
        <v>476</v>
      </c>
      <c r="M28" s="41"/>
      <c r="N28" s="137" t="s">
        <v>9</v>
      </c>
      <c r="O28" s="215"/>
      <c r="P28" s="138" t="s">
        <v>478</v>
      </c>
      <c r="Q28" s="43"/>
      <c r="R28" s="138" t="s">
        <v>476</v>
      </c>
      <c r="S28" s="135"/>
      <c r="T28" s="138" t="s">
        <v>477</v>
      </c>
      <c r="U28" s="43"/>
      <c r="V28" s="138" t="s">
        <v>473</v>
      </c>
      <c r="W28" s="115" t="s">
        <v>549</v>
      </c>
      <c r="X28" s="138" t="s">
        <v>473</v>
      </c>
      <c r="Y28" s="40" t="s">
        <v>178</v>
      </c>
      <c r="Z28" s="105">
        <v>20</v>
      </c>
    </row>
    <row r="29" spans="1:26" ht="57" customHeight="1">
      <c r="A29" s="105">
        <v>21</v>
      </c>
      <c r="B29" s="137" t="s">
        <v>9</v>
      </c>
      <c r="C29" s="41"/>
      <c r="D29" s="234" t="s">
        <v>472</v>
      </c>
      <c r="E29" s="43" t="s">
        <v>550</v>
      </c>
      <c r="F29" s="137" t="s">
        <v>476</v>
      </c>
      <c r="G29" s="41" t="s">
        <v>551</v>
      </c>
      <c r="H29" s="137" t="s">
        <v>9</v>
      </c>
      <c r="I29" s="46" t="s">
        <v>74</v>
      </c>
      <c r="J29" s="137" t="s">
        <v>478</v>
      </c>
      <c r="K29" s="115"/>
      <c r="L29" s="137" t="s">
        <v>479</v>
      </c>
      <c r="M29" s="43" t="s">
        <v>552</v>
      </c>
      <c r="N29" s="137" t="s">
        <v>477</v>
      </c>
      <c r="O29" s="43" t="s">
        <v>553</v>
      </c>
      <c r="P29" s="138" t="s">
        <v>473</v>
      </c>
      <c r="Q29" s="41" t="s">
        <v>554</v>
      </c>
      <c r="R29" s="138" t="s">
        <v>479</v>
      </c>
      <c r="S29" s="47"/>
      <c r="T29" s="138" t="s">
        <v>472</v>
      </c>
      <c r="U29" s="41" t="s">
        <v>555</v>
      </c>
      <c r="V29" s="138" t="s">
        <v>476</v>
      </c>
      <c r="W29" s="41"/>
      <c r="X29" s="138" t="s">
        <v>476</v>
      </c>
      <c r="Y29" s="41" t="s">
        <v>12</v>
      </c>
      <c r="Z29" s="105">
        <v>21</v>
      </c>
    </row>
    <row r="30" spans="1:26" ht="57" customHeight="1">
      <c r="A30" s="105">
        <v>22</v>
      </c>
      <c r="B30" s="137" t="s">
        <v>477</v>
      </c>
      <c r="C30" s="41"/>
      <c r="D30" s="234" t="s">
        <v>478</v>
      </c>
      <c r="E30" s="41" t="s">
        <v>556</v>
      </c>
      <c r="F30" s="137" t="s">
        <v>479</v>
      </c>
      <c r="G30" s="41"/>
      <c r="H30" s="137" t="s">
        <v>477</v>
      </c>
      <c r="I30" s="41"/>
      <c r="J30" s="137" t="s">
        <v>473</v>
      </c>
      <c r="K30" s="41" t="s">
        <v>303</v>
      </c>
      <c r="L30" s="137" t="s">
        <v>9</v>
      </c>
      <c r="M30" s="297" t="s">
        <v>557</v>
      </c>
      <c r="N30" s="137" t="s">
        <v>472</v>
      </c>
      <c r="O30" s="41"/>
      <c r="P30" s="138" t="s">
        <v>476</v>
      </c>
      <c r="Q30" s="230" t="s">
        <v>558</v>
      </c>
      <c r="R30" s="138" t="s">
        <v>9</v>
      </c>
      <c r="S30" s="60"/>
      <c r="T30" s="138" t="s">
        <v>478</v>
      </c>
      <c r="U30" s="42" t="s">
        <v>12</v>
      </c>
      <c r="V30" s="138" t="s">
        <v>479</v>
      </c>
      <c r="W30" s="41"/>
      <c r="X30" s="138" t="s">
        <v>479</v>
      </c>
      <c r="Y30" s="41" t="s">
        <v>12</v>
      </c>
      <c r="Z30" s="105">
        <v>22</v>
      </c>
    </row>
    <row r="31" spans="1:26" ht="57" customHeight="1">
      <c r="A31" s="105">
        <v>23</v>
      </c>
      <c r="B31" s="137" t="s">
        <v>472</v>
      </c>
      <c r="C31" s="41"/>
      <c r="D31" s="234" t="s">
        <v>473</v>
      </c>
      <c r="E31" s="41"/>
      <c r="F31" s="137" t="s">
        <v>9</v>
      </c>
      <c r="G31" s="41"/>
      <c r="H31" s="137" t="s">
        <v>472</v>
      </c>
      <c r="I31" s="42" t="s">
        <v>559</v>
      </c>
      <c r="J31" s="137" t="s">
        <v>476</v>
      </c>
      <c r="K31" s="41" t="s">
        <v>303</v>
      </c>
      <c r="L31" s="137" t="s">
        <v>477</v>
      </c>
      <c r="M31" s="46" t="s">
        <v>320</v>
      </c>
      <c r="N31" s="137" t="s">
        <v>478</v>
      </c>
      <c r="O31" s="41"/>
      <c r="P31" s="138" t="s">
        <v>479</v>
      </c>
      <c r="Q31" s="46" t="s">
        <v>438</v>
      </c>
      <c r="R31" s="138" t="s">
        <v>477</v>
      </c>
      <c r="S31" s="97"/>
      <c r="T31" s="138" t="s">
        <v>473</v>
      </c>
      <c r="U31" s="42" t="s">
        <v>12</v>
      </c>
      <c r="V31" s="138" t="s">
        <v>9</v>
      </c>
      <c r="W31" s="46" t="s">
        <v>560</v>
      </c>
      <c r="X31" s="138" t="s">
        <v>9</v>
      </c>
      <c r="Y31" s="41" t="s">
        <v>12</v>
      </c>
      <c r="Z31" s="105">
        <v>23</v>
      </c>
    </row>
    <row r="32" spans="1:26" ht="85.35" customHeight="1">
      <c r="A32" s="105">
        <v>24</v>
      </c>
      <c r="B32" s="137" t="s">
        <v>478</v>
      </c>
      <c r="C32" s="41" t="s">
        <v>82</v>
      </c>
      <c r="D32" s="234" t="s">
        <v>476</v>
      </c>
      <c r="E32" s="41"/>
      <c r="F32" s="137" t="s">
        <v>477</v>
      </c>
      <c r="G32" s="41"/>
      <c r="H32" s="137" t="s">
        <v>478</v>
      </c>
      <c r="I32" s="41"/>
      <c r="J32" s="137" t="s">
        <v>479</v>
      </c>
      <c r="K32" s="41" t="s">
        <v>303</v>
      </c>
      <c r="L32" s="137" t="s">
        <v>472</v>
      </c>
      <c r="M32" s="41" t="s">
        <v>561</v>
      </c>
      <c r="N32" s="137" t="s">
        <v>473</v>
      </c>
      <c r="O32" s="41"/>
      <c r="P32" s="138" t="s">
        <v>9</v>
      </c>
      <c r="Q32" s="41" t="s">
        <v>562</v>
      </c>
      <c r="R32" s="138" t="s">
        <v>472</v>
      </c>
      <c r="S32" s="60" t="s">
        <v>563</v>
      </c>
      <c r="T32" s="138" t="s">
        <v>476</v>
      </c>
      <c r="U32" s="42"/>
      <c r="V32" s="138" t="s">
        <v>477</v>
      </c>
      <c r="W32" s="60" t="s">
        <v>540</v>
      </c>
      <c r="X32" s="138" t="s">
        <v>477</v>
      </c>
      <c r="Y32" s="41"/>
      <c r="Z32" s="105">
        <v>24</v>
      </c>
    </row>
    <row r="33" spans="1:26" ht="96.6" customHeight="1">
      <c r="A33" s="105">
        <v>25</v>
      </c>
      <c r="B33" s="137" t="s">
        <v>473</v>
      </c>
      <c r="C33" s="43" t="s">
        <v>564</v>
      </c>
      <c r="D33" s="234" t="s">
        <v>479</v>
      </c>
      <c r="E33" s="46"/>
      <c r="F33" s="137" t="s">
        <v>472</v>
      </c>
      <c r="G33" s="41" t="s">
        <v>565</v>
      </c>
      <c r="H33" s="137" t="s">
        <v>473</v>
      </c>
      <c r="I33" s="198"/>
      <c r="J33" s="137" t="s">
        <v>9</v>
      </c>
      <c r="K33" s="41" t="s">
        <v>566</v>
      </c>
      <c r="L33" s="137" t="s">
        <v>478</v>
      </c>
      <c r="M33" s="187" t="s">
        <v>567</v>
      </c>
      <c r="N33" s="137" t="s">
        <v>476</v>
      </c>
      <c r="O33" s="41"/>
      <c r="P33" s="138" t="s">
        <v>477</v>
      </c>
      <c r="Q33" s="41"/>
      <c r="R33" s="138" t="s">
        <v>478</v>
      </c>
      <c r="S33" s="100" t="s">
        <v>568</v>
      </c>
      <c r="T33" s="138" t="s">
        <v>479</v>
      </c>
      <c r="U33" s="42"/>
      <c r="V33" s="138" t="s">
        <v>472</v>
      </c>
      <c r="W33" s="41" t="s">
        <v>569</v>
      </c>
      <c r="X33" s="138" t="s">
        <v>472</v>
      </c>
      <c r="Y33" s="41"/>
      <c r="Z33" s="105">
        <v>25</v>
      </c>
    </row>
    <row r="34" spans="1:26" ht="57" customHeight="1">
      <c r="A34" s="105">
        <v>26</v>
      </c>
      <c r="B34" s="137" t="s">
        <v>476</v>
      </c>
      <c r="C34" s="41"/>
      <c r="D34" s="234" t="s">
        <v>9</v>
      </c>
      <c r="E34" s="41"/>
      <c r="F34" s="137" t="s">
        <v>478</v>
      </c>
      <c r="G34" s="41"/>
      <c r="H34" s="137" t="s">
        <v>476</v>
      </c>
      <c r="I34" s="187" t="s">
        <v>570</v>
      </c>
      <c r="J34" s="137" t="s">
        <v>477</v>
      </c>
      <c r="K34" s="41" t="s">
        <v>566</v>
      </c>
      <c r="L34" s="137" t="s">
        <v>473</v>
      </c>
      <c r="M34" s="244" t="s">
        <v>571</v>
      </c>
      <c r="N34" s="137" t="s">
        <v>479</v>
      </c>
      <c r="O34" s="41"/>
      <c r="P34" s="138" t="s">
        <v>472</v>
      </c>
      <c r="Q34" s="50" t="s">
        <v>365</v>
      </c>
      <c r="R34" s="138" t="s">
        <v>473</v>
      </c>
      <c r="S34" s="43"/>
      <c r="T34" s="138" t="s">
        <v>9</v>
      </c>
      <c r="U34" s="41" t="s">
        <v>12</v>
      </c>
      <c r="V34" s="138" t="s">
        <v>478</v>
      </c>
      <c r="W34" s="54" t="s">
        <v>572</v>
      </c>
      <c r="X34" s="138" t="s">
        <v>478</v>
      </c>
      <c r="Y34" s="41"/>
      <c r="Z34" s="105">
        <v>26</v>
      </c>
    </row>
    <row r="35" spans="1:26" ht="57" customHeight="1">
      <c r="A35" s="105">
        <v>27</v>
      </c>
      <c r="B35" s="137" t="s">
        <v>479</v>
      </c>
      <c r="C35" s="41"/>
      <c r="D35" s="234" t="s">
        <v>477</v>
      </c>
      <c r="E35" s="41"/>
      <c r="F35" s="137" t="s">
        <v>473</v>
      </c>
      <c r="G35" s="41"/>
      <c r="H35" s="137" t="s">
        <v>479</v>
      </c>
      <c r="I35" s="187"/>
      <c r="J35" s="137" t="s">
        <v>472</v>
      </c>
      <c r="K35" s="297" t="s">
        <v>573</v>
      </c>
      <c r="L35" s="137" t="s">
        <v>476</v>
      </c>
      <c r="M35" s="187"/>
      <c r="N35" s="137" t="s">
        <v>9</v>
      </c>
      <c r="O35" s="43"/>
      <c r="P35" s="138" t="s">
        <v>478</v>
      </c>
      <c r="Q35" s="50" t="s">
        <v>365</v>
      </c>
      <c r="R35" s="138" t="s">
        <v>476</v>
      </c>
      <c r="S35" s="41"/>
      <c r="T35" s="138" t="s">
        <v>477</v>
      </c>
      <c r="U35" s="41" t="s">
        <v>12</v>
      </c>
      <c r="V35" s="138" t="s">
        <v>473</v>
      </c>
      <c r="W35" s="50" t="s">
        <v>574</v>
      </c>
      <c r="X35" s="138" t="s">
        <v>473</v>
      </c>
      <c r="Y35" s="41"/>
      <c r="Z35" s="105">
        <v>27</v>
      </c>
    </row>
    <row r="36" spans="1:26" ht="57" customHeight="1">
      <c r="A36" s="105">
        <v>28</v>
      </c>
      <c r="B36" s="137" t="s">
        <v>9</v>
      </c>
      <c r="C36" s="41" t="s">
        <v>12</v>
      </c>
      <c r="D36" s="234" t="s">
        <v>472</v>
      </c>
      <c r="E36" s="41"/>
      <c r="F36" s="137" t="s">
        <v>476</v>
      </c>
      <c r="G36" s="41"/>
      <c r="H36" s="137" t="s">
        <v>9</v>
      </c>
      <c r="I36" s="189"/>
      <c r="J36" s="137" t="s">
        <v>478</v>
      </c>
      <c r="K36" s="297" t="s">
        <v>575</v>
      </c>
      <c r="L36" s="137" t="s">
        <v>479</v>
      </c>
      <c r="M36" s="187"/>
      <c r="N36" s="137" t="s">
        <v>477</v>
      </c>
      <c r="O36" s="41"/>
      <c r="P36" s="138" t="s">
        <v>473</v>
      </c>
      <c r="Q36" s="50" t="s">
        <v>576</v>
      </c>
      <c r="R36" s="138" t="s">
        <v>479</v>
      </c>
      <c r="S36" s="41"/>
      <c r="T36" s="138" t="s">
        <v>472</v>
      </c>
      <c r="U36" s="41"/>
      <c r="V36" s="138" t="s">
        <v>476</v>
      </c>
      <c r="W36" s="50" t="s">
        <v>365</v>
      </c>
      <c r="X36" s="138" t="s">
        <v>476</v>
      </c>
      <c r="Y36" s="41"/>
      <c r="Z36" s="105">
        <v>28</v>
      </c>
    </row>
    <row r="37" spans="1:26" ht="57" customHeight="1">
      <c r="A37" s="105">
        <v>29</v>
      </c>
      <c r="B37" s="137" t="s">
        <v>477</v>
      </c>
      <c r="C37" s="46" t="s">
        <v>340</v>
      </c>
      <c r="D37" s="234" t="s">
        <v>478</v>
      </c>
      <c r="E37" s="51"/>
      <c r="F37" s="137" t="s">
        <v>479</v>
      </c>
      <c r="G37" s="41"/>
      <c r="H37" s="137" t="s">
        <v>477</v>
      </c>
      <c r="I37" s="290" t="s">
        <v>577</v>
      </c>
      <c r="J37" s="137" t="s">
        <v>473</v>
      </c>
      <c r="K37" s="297" t="s">
        <v>573</v>
      </c>
      <c r="L37" s="137" t="s">
        <v>9</v>
      </c>
      <c r="M37" s="187" t="s">
        <v>578</v>
      </c>
      <c r="N37" s="137" t="s">
        <v>472</v>
      </c>
      <c r="O37" s="41"/>
      <c r="P37" s="138" t="s">
        <v>476</v>
      </c>
      <c r="Q37" s="41"/>
      <c r="R37" s="138" t="s">
        <v>9</v>
      </c>
      <c r="S37" s="46" t="s">
        <v>110</v>
      </c>
      <c r="T37" s="138" t="s">
        <v>478</v>
      </c>
      <c r="U37" s="41"/>
      <c r="V37" s="87"/>
      <c r="W37" s="87"/>
      <c r="X37" s="138" t="s">
        <v>479</v>
      </c>
      <c r="Y37" s="41" t="s">
        <v>12</v>
      </c>
      <c r="Z37" s="105">
        <v>29</v>
      </c>
    </row>
    <row r="38" spans="1:26" ht="82.35" customHeight="1">
      <c r="A38" s="105">
        <v>30</v>
      </c>
      <c r="B38" s="137" t="s">
        <v>472</v>
      </c>
      <c r="C38" s="41"/>
      <c r="D38" s="234" t="s">
        <v>473</v>
      </c>
      <c r="E38" s="42" t="s">
        <v>579</v>
      </c>
      <c r="F38" s="137" t="s">
        <v>9</v>
      </c>
      <c r="G38" s="60" t="s">
        <v>580</v>
      </c>
      <c r="H38" s="137" t="s">
        <v>472</v>
      </c>
      <c r="I38" s="189" t="s">
        <v>581</v>
      </c>
      <c r="J38" s="137" t="s">
        <v>476</v>
      </c>
      <c r="K38" s="41" t="s">
        <v>582</v>
      </c>
      <c r="L38" s="137" t="s">
        <v>477</v>
      </c>
      <c r="M38" s="187" t="s">
        <v>583</v>
      </c>
      <c r="N38" s="137" t="s">
        <v>478</v>
      </c>
      <c r="O38" s="41" t="s">
        <v>12</v>
      </c>
      <c r="P38" s="138" t="s">
        <v>479</v>
      </c>
      <c r="Q38" s="41"/>
      <c r="R38" s="138" t="s">
        <v>477</v>
      </c>
      <c r="S38" s="46" t="s">
        <v>110</v>
      </c>
      <c r="T38" s="138" t="s">
        <v>473</v>
      </c>
      <c r="U38" s="41" t="s">
        <v>12</v>
      </c>
      <c r="V38" s="87"/>
      <c r="W38" s="87" t="s">
        <v>12</v>
      </c>
      <c r="X38" s="138" t="s">
        <v>9</v>
      </c>
      <c r="Y38" s="41" t="s">
        <v>12</v>
      </c>
      <c r="Z38" s="105">
        <v>30</v>
      </c>
    </row>
    <row r="39" spans="1:26" ht="57" customHeight="1">
      <c r="A39" s="105">
        <v>31</v>
      </c>
      <c r="B39" s="87"/>
      <c r="C39" s="87" t="s">
        <v>12</v>
      </c>
      <c r="D39" s="234" t="s">
        <v>476</v>
      </c>
      <c r="E39" s="288" t="s">
        <v>365</v>
      </c>
      <c r="F39" s="87"/>
      <c r="G39" s="87" t="s">
        <v>12</v>
      </c>
      <c r="H39" s="137" t="s">
        <v>478</v>
      </c>
      <c r="I39" s="60" t="s">
        <v>584</v>
      </c>
      <c r="J39" s="137" t="s">
        <v>479</v>
      </c>
      <c r="K39" s="51" t="s">
        <v>12</v>
      </c>
      <c r="L39" s="87"/>
      <c r="M39" s="87" t="s">
        <v>12</v>
      </c>
      <c r="N39" s="137" t="s">
        <v>473</v>
      </c>
      <c r="O39" s="51" t="s">
        <v>12</v>
      </c>
      <c r="P39" s="87"/>
      <c r="Q39" s="87" t="s">
        <v>12</v>
      </c>
      <c r="R39" s="138" t="s">
        <v>472</v>
      </c>
      <c r="S39" s="229" t="s">
        <v>110</v>
      </c>
      <c r="T39" s="138" t="s">
        <v>476</v>
      </c>
      <c r="U39" s="288" t="s">
        <v>585</v>
      </c>
      <c r="V39" s="87"/>
      <c r="W39" s="87" t="s">
        <v>12</v>
      </c>
      <c r="X39" s="138" t="s">
        <v>477</v>
      </c>
      <c r="Y39" s="51" t="s">
        <v>12</v>
      </c>
      <c r="Z39" s="105">
        <v>31</v>
      </c>
    </row>
    <row r="40" spans="1:26" s="26" customFormat="1" ht="28.5" customHeight="1">
      <c r="A40" s="25"/>
      <c r="B40" s="25"/>
      <c r="D40" s="25"/>
      <c r="F40" s="25"/>
      <c r="H40" s="25"/>
      <c r="J40" s="25"/>
      <c r="K40" s="19"/>
      <c r="L40" s="25"/>
      <c r="N40" s="25"/>
      <c r="O40" s="27"/>
      <c r="P40" s="25"/>
      <c r="Q40" s="27"/>
      <c r="R40" s="25"/>
      <c r="T40" s="25"/>
      <c r="V40" s="25"/>
      <c r="X40" s="25"/>
      <c r="Z40" s="25"/>
    </row>
  </sheetData>
  <mergeCells count="27">
    <mergeCell ref="C3:M3"/>
    <mergeCell ref="O3:Y3"/>
    <mergeCell ref="B1:E1"/>
    <mergeCell ref="I1:L1"/>
    <mergeCell ref="O1:R1"/>
    <mergeCell ref="U1:X1"/>
    <mergeCell ref="E2:G2"/>
    <mergeCell ref="K2:M2"/>
    <mergeCell ref="Q2:S2"/>
    <mergeCell ref="W2:Z2"/>
    <mergeCell ref="B8:C8"/>
    <mergeCell ref="D8:E8"/>
    <mergeCell ref="F8:G8"/>
    <mergeCell ref="H8:I8"/>
    <mergeCell ref="J8:K8"/>
    <mergeCell ref="B5:D5"/>
    <mergeCell ref="I5:K5"/>
    <mergeCell ref="X6:Y6"/>
    <mergeCell ref="L5:T5"/>
    <mergeCell ref="U5:Y5"/>
    <mergeCell ref="X8:Y8"/>
    <mergeCell ref="L8:M8"/>
    <mergeCell ref="N8:O8"/>
    <mergeCell ref="P8:Q8"/>
    <mergeCell ref="R8:S8"/>
    <mergeCell ref="T8:U8"/>
    <mergeCell ref="V8:W8"/>
  </mergeCells>
  <phoneticPr fontId="19"/>
  <conditionalFormatting sqref="K23">
    <cfRule type="expression" dxfId="1" priority="1">
      <formula>K23&lt;&gt;#REF!</formula>
    </cfRule>
  </conditionalFormatting>
  <printOptions horizontalCentered="1" verticalCentered="1"/>
  <pageMargins left="0.2" right="0.2" top="0.44" bottom="0.34" header="0.3" footer="0.2"/>
  <pageSetup paperSize="8" scale="31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7EAC-4020-410D-BF63-502634AC1A2B}">
  <sheetPr>
    <pageSetUpPr fitToPage="1"/>
  </sheetPr>
  <dimension ref="A1:M35"/>
  <sheetViews>
    <sheetView topLeftCell="G12" zoomScale="55" zoomScaleNormal="55" workbookViewId="0">
      <selection activeCell="E14" sqref="E14"/>
    </sheetView>
  </sheetViews>
  <sheetFormatPr defaultColWidth="8.875" defaultRowHeight="14.25"/>
  <cols>
    <col min="1" max="1" width="10.125" customWidth="1"/>
    <col min="2" max="2" width="5.625" customWidth="1"/>
    <col min="3" max="3" width="37.5" customWidth="1"/>
    <col min="4" max="4" width="5.625" customWidth="1"/>
    <col min="5" max="5" width="37.625" customWidth="1"/>
    <col min="6" max="6" width="5.625" customWidth="1"/>
    <col min="7" max="7" width="37.5" customWidth="1"/>
    <col min="8" max="8" width="5.625" customWidth="1"/>
    <col min="9" max="9" width="37.5" customWidth="1"/>
    <col min="10" max="10" width="5.625" customWidth="1"/>
    <col min="11" max="11" width="37.5" customWidth="1"/>
    <col min="12" max="12" width="5.625" customWidth="1"/>
    <col min="13" max="13" width="37.125" customWidth="1"/>
  </cols>
  <sheetData>
    <row r="1" spans="1:13" ht="23.85" customHeight="1">
      <c r="A1" s="92"/>
      <c r="B1" s="399" t="s">
        <v>457</v>
      </c>
      <c r="C1" s="399"/>
      <c r="D1" s="399"/>
      <c r="E1" s="399"/>
      <c r="F1" s="92"/>
      <c r="G1" s="93"/>
      <c r="H1" s="92"/>
      <c r="I1" s="399"/>
      <c r="J1" s="399"/>
      <c r="K1" s="399"/>
      <c r="L1" s="399"/>
      <c r="M1" s="92"/>
    </row>
    <row r="2" spans="1:13" ht="57" customHeight="1">
      <c r="A2" s="92"/>
      <c r="B2" s="92"/>
      <c r="C2" s="93"/>
      <c r="D2" s="93"/>
      <c r="E2" s="400"/>
      <c r="F2" s="400"/>
      <c r="G2" s="400"/>
      <c r="H2" s="92"/>
      <c r="I2" s="92"/>
      <c r="J2" s="93"/>
      <c r="K2" s="401" t="s">
        <v>586</v>
      </c>
      <c r="L2" s="401"/>
      <c r="M2" s="401"/>
    </row>
    <row r="3" spans="1:13" ht="57" customHeight="1">
      <c r="A3" s="398" t="s">
        <v>587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8.5">
      <c r="A4" s="106"/>
      <c r="B4" s="392">
        <v>4</v>
      </c>
      <c r="C4" s="392"/>
      <c r="D4" s="392">
        <v>5</v>
      </c>
      <c r="E4" s="392"/>
      <c r="F4" s="392">
        <v>6</v>
      </c>
      <c r="G4" s="392"/>
      <c r="H4" s="392">
        <v>7</v>
      </c>
      <c r="I4" s="392"/>
      <c r="J4" s="392">
        <v>8</v>
      </c>
      <c r="K4" s="392"/>
      <c r="L4" s="392">
        <v>9</v>
      </c>
      <c r="M4" s="392"/>
    </row>
    <row r="5" spans="1:13" ht="57" customHeight="1">
      <c r="A5" s="104">
        <v>1</v>
      </c>
      <c r="B5" s="137" t="s">
        <v>477</v>
      </c>
      <c r="C5" s="41" t="s">
        <v>588</v>
      </c>
      <c r="D5" s="234" t="s">
        <v>478</v>
      </c>
      <c r="E5" s="42"/>
      <c r="F5" s="137" t="s">
        <v>479</v>
      </c>
      <c r="G5" s="50"/>
      <c r="H5" s="137" t="s">
        <v>477</v>
      </c>
      <c r="I5" s="60"/>
      <c r="J5" s="137" t="s">
        <v>473</v>
      </c>
      <c r="K5" s="238" t="s">
        <v>107</v>
      </c>
      <c r="L5" s="137" t="s">
        <v>9</v>
      </c>
      <c r="M5" s="41"/>
    </row>
    <row r="6" spans="1:13" ht="57" customHeight="1">
      <c r="A6" s="105">
        <v>2</v>
      </c>
      <c r="B6" s="137" t="s">
        <v>472</v>
      </c>
      <c r="C6" s="41"/>
      <c r="D6" s="234" t="s">
        <v>473</v>
      </c>
      <c r="E6" s="41" t="s">
        <v>474</v>
      </c>
      <c r="F6" s="137" t="s">
        <v>9</v>
      </c>
      <c r="G6" s="58"/>
      <c r="H6" s="137" t="s">
        <v>472</v>
      </c>
      <c r="I6" s="101" t="s">
        <v>589</v>
      </c>
      <c r="J6" s="137" t="s">
        <v>476</v>
      </c>
      <c r="K6" s="238"/>
      <c r="L6" s="137" t="s">
        <v>477</v>
      </c>
      <c r="M6" s="41" t="s">
        <v>12</v>
      </c>
    </row>
    <row r="7" spans="1:13" ht="57" customHeight="1">
      <c r="A7" s="105">
        <v>3</v>
      </c>
      <c r="B7" s="137" t="s">
        <v>478</v>
      </c>
      <c r="C7" s="42"/>
      <c r="D7" s="234" t="s">
        <v>476</v>
      </c>
      <c r="E7" s="46" t="s">
        <v>21</v>
      </c>
      <c r="F7" s="137" t="s">
        <v>477</v>
      </c>
      <c r="G7" s="59"/>
      <c r="H7" s="137" t="s">
        <v>478</v>
      </c>
      <c r="I7" s="209"/>
      <c r="J7" s="137" t="s">
        <v>479</v>
      </c>
      <c r="K7" s="60"/>
      <c r="L7" s="137" t="s">
        <v>472</v>
      </c>
      <c r="M7" s="41"/>
    </row>
    <row r="8" spans="1:13" ht="57" customHeight="1">
      <c r="A8" s="105">
        <v>4</v>
      </c>
      <c r="B8" s="137" t="s">
        <v>473</v>
      </c>
      <c r="C8" s="42"/>
      <c r="D8" s="234" t="s">
        <v>479</v>
      </c>
      <c r="E8" s="46" t="s">
        <v>252</v>
      </c>
      <c r="F8" s="137" t="s">
        <v>472</v>
      </c>
      <c r="G8" s="50" t="s">
        <v>485</v>
      </c>
      <c r="H8" s="137" t="s">
        <v>473</v>
      </c>
      <c r="I8" s="41" t="s">
        <v>22</v>
      </c>
      <c r="J8" s="137" t="s">
        <v>9</v>
      </c>
      <c r="K8" s="41" t="s">
        <v>486</v>
      </c>
      <c r="L8" s="137" t="s">
        <v>478</v>
      </c>
      <c r="M8" s="41"/>
    </row>
    <row r="9" spans="1:13" ht="82.7" customHeight="1">
      <c r="A9" s="105">
        <v>5</v>
      </c>
      <c r="B9" s="137" t="s">
        <v>476</v>
      </c>
      <c r="C9" s="42"/>
      <c r="D9" s="234" t="s">
        <v>9</v>
      </c>
      <c r="E9" s="46" t="s">
        <v>256</v>
      </c>
      <c r="F9" s="137" t="s">
        <v>478</v>
      </c>
      <c r="G9" s="308" t="s">
        <v>590</v>
      </c>
      <c r="H9" s="137" t="s">
        <v>476</v>
      </c>
      <c r="I9" s="209"/>
      <c r="J9" s="137" t="s">
        <v>477</v>
      </c>
      <c r="K9" s="60" t="s">
        <v>489</v>
      </c>
      <c r="L9" s="137" t="s">
        <v>473</v>
      </c>
      <c r="M9" s="41"/>
    </row>
    <row r="10" spans="1:13" ht="82.7" customHeight="1">
      <c r="A10" s="105">
        <v>6</v>
      </c>
      <c r="B10" s="137" t="s">
        <v>479</v>
      </c>
      <c r="C10" s="42" t="s">
        <v>491</v>
      </c>
      <c r="D10" s="234" t="s">
        <v>477</v>
      </c>
      <c r="E10" s="46" t="s">
        <v>492</v>
      </c>
      <c r="F10" s="137" t="s">
        <v>473</v>
      </c>
      <c r="G10" s="41" t="s">
        <v>493</v>
      </c>
      <c r="H10" s="137" t="s">
        <v>479</v>
      </c>
      <c r="I10" s="53"/>
      <c r="J10" s="137" t="s">
        <v>472</v>
      </c>
      <c r="K10" s="189" t="s">
        <v>591</v>
      </c>
      <c r="L10" s="137" t="s">
        <v>476</v>
      </c>
      <c r="M10" s="41"/>
    </row>
    <row r="11" spans="1:13" ht="90" customHeight="1">
      <c r="A11" s="105">
        <v>7</v>
      </c>
      <c r="B11" s="137" t="s">
        <v>9</v>
      </c>
      <c r="C11" s="42" t="s">
        <v>35</v>
      </c>
      <c r="D11" s="234" t="s">
        <v>472</v>
      </c>
      <c r="E11" s="42"/>
      <c r="F11" s="137" t="s">
        <v>476</v>
      </c>
      <c r="G11" s="41"/>
      <c r="H11" s="137" t="s">
        <v>9</v>
      </c>
      <c r="I11" s="51"/>
      <c r="J11" s="137" t="s">
        <v>478</v>
      </c>
      <c r="K11" s="102" t="s">
        <v>592</v>
      </c>
      <c r="L11" s="137" t="s">
        <v>479</v>
      </c>
      <c r="M11" s="225"/>
    </row>
    <row r="12" spans="1:13" ht="107.45" customHeight="1">
      <c r="A12" s="105">
        <v>8</v>
      </c>
      <c r="B12" s="137" t="s">
        <v>477</v>
      </c>
      <c r="C12" s="97" t="s">
        <v>501</v>
      </c>
      <c r="D12" s="234" t="s">
        <v>478</v>
      </c>
      <c r="E12" s="42"/>
      <c r="F12" s="137" t="s">
        <v>479</v>
      </c>
      <c r="G12" s="41"/>
      <c r="H12" s="137" t="s">
        <v>477</v>
      </c>
      <c r="I12" s="221" t="s">
        <v>278</v>
      </c>
      <c r="J12" s="137" t="s">
        <v>473</v>
      </c>
      <c r="K12" s="241" t="s">
        <v>502</v>
      </c>
      <c r="L12" s="137" t="s">
        <v>9</v>
      </c>
      <c r="M12" s="41" t="s">
        <v>503</v>
      </c>
    </row>
    <row r="13" spans="1:13" ht="106.7" customHeight="1">
      <c r="A13" s="105">
        <v>9</v>
      </c>
      <c r="B13" s="137" t="s">
        <v>472</v>
      </c>
      <c r="C13" s="287" t="s">
        <v>505</v>
      </c>
      <c r="D13" s="234" t="s">
        <v>473</v>
      </c>
      <c r="E13" s="41" t="s">
        <v>326</v>
      </c>
      <c r="F13" s="137" t="s">
        <v>9</v>
      </c>
      <c r="G13" s="45" t="s">
        <v>506</v>
      </c>
      <c r="H13" s="137" t="s">
        <v>472</v>
      </c>
      <c r="I13" s="97" t="s">
        <v>507</v>
      </c>
      <c r="J13" s="137" t="s">
        <v>476</v>
      </c>
      <c r="K13" s="239" t="s">
        <v>508</v>
      </c>
      <c r="L13" s="137" t="s">
        <v>477</v>
      </c>
      <c r="M13" s="243"/>
    </row>
    <row r="14" spans="1:13" ht="114" customHeight="1">
      <c r="A14" s="105">
        <v>10</v>
      </c>
      <c r="B14" s="137" t="s">
        <v>478</v>
      </c>
      <c r="C14" s="200" t="s">
        <v>593</v>
      </c>
      <c r="D14" s="234" t="s">
        <v>476</v>
      </c>
      <c r="E14" s="97"/>
      <c r="F14" s="137" t="s">
        <v>477</v>
      </c>
      <c r="G14" s="45" t="s">
        <v>511</v>
      </c>
      <c r="H14" s="137" t="s">
        <v>478</v>
      </c>
      <c r="I14" s="41"/>
      <c r="J14" s="137" t="s">
        <v>479</v>
      </c>
      <c r="K14" s="240"/>
      <c r="L14" s="137" t="s">
        <v>472</v>
      </c>
      <c r="M14" s="45"/>
    </row>
    <row r="15" spans="1:13" ht="78" customHeight="1">
      <c r="A15" s="105">
        <v>11</v>
      </c>
      <c r="B15" s="137" t="s">
        <v>473</v>
      </c>
      <c r="C15" s="209" t="s">
        <v>18</v>
      </c>
      <c r="D15" s="234" t="s">
        <v>479</v>
      </c>
      <c r="E15" s="97"/>
      <c r="F15" s="137" t="s">
        <v>472</v>
      </c>
      <c r="G15" s="236" t="s">
        <v>594</v>
      </c>
      <c r="H15" s="137" t="s">
        <v>473</v>
      </c>
      <c r="I15" s="97"/>
      <c r="J15" s="137" t="s">
        <v>9</v>
      </c>
      <c r="K15" s="131" t="s">
        <v>55</v>
      </c>
      <c r="L15" s="137" t="s">
        <v>478</v>
      </c>
      <c r="M15" s="97" t="s">
        <v>515</v>
      </c>
    </row>
    <row r="16" spans="1:13" ht="91.7" customHeight="1">
      <c r="A16" s="105">
        <v>12</v>
      </c>
      <c r="B16" s="137" t="s">
        <v>476</v>
      </c>
      <c r="C16" s="200"/>
      <c r="D16" s="234" t="s">
        <v>9</v>
      </c>
      <c r="E16" s="99" t="s">
        <v>12</v>
      </c>
      <c r="F16" s="137" t="s">
        <v>478</v>
      </c>
      <c r="G16" s="235" t="s">
        <v>287</v>
      </c>
      <c r="H16" s="137" t="s">
        <v>476</v>
      </c>
      <c r="I16" s="41"/>
      <c r="J16" s="137" t="s">
        <v>477</v>
      </c>
      <c r="K16" s="131"/>
      <c r="L16" s="137" t="s">
        <v>473</v>
      </c>
      <c r="M16" s="43" t="s">
        <v>595</v>
      </c>
    </row>
    <row r="17" spans="1:13" ht="78" customHeight="1">
      <c r="A17" s="105">
        <v>13</v>
      </c>
      <c r="B17" s="137" t="s">
        <v>479</v>
      </c>
      <c r="C17" s="209"/>
      <c r="D17" s="234" t="s">
        <v>477</v>
      </c>
      <c r="E17" s="47" t="s">
        <v>12</v>
      </c>
      <c r="F17" s="137" t="s">
        <v>473</v>
      </c>
      <c r="G17" s="220" t="s">
        <v>596</v>
      </c>
      <c r="H17" s="137" t="s">
        <v>479</v>
      </c>
      <c r="I17" s="41"/>
      <c r="J17" s="137" t="s">
        <v>472</v>
      </c>
      <c r="K17" s="41" t="s">
        <v>12</v>
      </c>
      <c r="L17" s="137" t="s">
        <v>476</v>
      </c>
      <c r="M17" s="45"/>
    </row>
    <row r="18" spans="1:13" ht="57" customHeight="1">
      <c r="A18" s="105">
        <v>14</v>
      </c>
      <c r="B18" s="137" t="s">
        <v>9</v>
      </c>
      <c r="C18" s="197"/>
      <c r="D18" s="234" t="s">
        <v>472</v>
      </c>
      <c r="E18" s="47" t="s">
        <v>302</v>
      </c>
      <c r="F18" s="137" t="s">
        <v>476</v>
      </c>
      <c r="G18" s="115" t="s">
        <v>597</v>
      </c>
      <c r="H18" s="137" t="s">
        <v>9</v>
      </c>
      <c r="I18" s="41"/>
      <c r="J18" s="137" t="s">
        <v>478</v>
      </c>
      <c r="K18" s="41" t="s">
        <v>12</v>
      </c>
      <c r="L18" s="137" t="s">
        <v>479</v>
      </c>
      <c r="M18" s="96" t="s">
        <v>525</v>
      </c>
    </row>
    <row r="19" spans="1:13" ht="57" customHeight="1">
      <c r="A19" s="105">
        <v>15</v>
      </c>
      <c r="B19" s="137" t="s">
        <v>477</v>
      </c>
      <c r="C19" s="41" t="s">
        <v>527</v>
      </c>
      <c r="D19" s="234" t="s">
        <v>478</v>
      </c>
      <c r="E19" s="41" t="s">
        <v>598</v>
      </c>
      <c r="F19" s="137" t="s">
        <v>479</v>
      </c>
      <c r="G19" s="42"/>
      <c r="H19" s="137" t="s">
        <v>477</v>
      </c>
      <c r="I19" s="63"/>
      <c r="J19" s="137" t="s">
        <v>473</v>
      </c>
      <c r="K19" s="242"/>
      <c r="L19" s="137" t="s">
        <v>9</v>
      </c>
      <c r="M19" s="46" t="s">
        <v>78</v>
      </c>
    </row>
    <row r="20" spans="1:13" ht="78" customHeight="1">
      <c r="A20" s="105">
        <v>16</v>
      </c>
      <c r="B20" s="137" t="s">
        <v>472</v>
      </c>
      <c r="C20" s="41" t="s">
        <v>532</v>
      </c>
      <c r="D20" s="234" t="s">
        <v>473</v>
      </c>
      <c r="E20" s="45" t="s">
        <v>599</v>
      </c>
      <c r="F20" s="137" t="s">
        <v>9</v>
      </c>
      <c r="G20" s="42"/>
      <c r="H20" s="137" t="s">
        <v>472</v>
      </c>
      <c r="I20" s="41" t="s">
        <v>600</v>
      </c>
      <c r="J20" s="137" t="s">
        <v>476</v>
      </c>
      <c r="K20" s="41" t="s">
        <v>12</v>
      </c>
      <c r="L20" s="137" t="s">
        <v>477</v>
      </c>
      <c r="M20" s="45" t="s">
        <v>601</v>
      </c>
    </row>
    <row r="21" spans="1:13" ht="57" customHeight="1">
      <c r="A21" s="105">
        <v>17</v>
      </c>
      <c r="B21" s="137" t="s">
        <v>478</v>
      </c>
      <c r="C21" s="41" t="s">
        <v>539</v>
      </c>
      <c r="D21" s="234" t="s">
        <v>476</v>
      </c>
      <c r="E21" s="41"/>
      <c r="F21" s="137" t="s">
        <v>477</v>
      </c>
      <c r="G21" s="46"/>
      <c r="H21" s="137" t="s">
        <v>478</v>
      </c>
      <c r="I21" s="42"/>
      <c r="J21" s="137" t="s">
        <v>479</v>
      </c>
      <c r="K21" s="41"/>
      <c r="L21" s="137" t="s">
        <v>472</v>
      </c>
      <c r="M21" s="41" t="s">
        <v>540</v>
      </c>
    </row>
    <row r="22" spans="1:13" ht="57" customHeight="1">
      <c r="A22" s="105">
        <v>18</v>
      </c>
      <c r="B22" s="137" t="s">
        <v>473</v>
      </c>
      <c r="C22" s="43" t="s">
        <v>544</v>
      </c>
      <c r="D22" s="234" t="s">
        <v>479</v>
      </c>
      <c r="E22" s="45"/>
      <c r="F22" s="137" t="s">
        <v>472</v>
      </c>
      <c r="G22" s="115" t="s">
        <v>602</v>
      </c>
      <c r="H22" s="137" t="s">
        <v>473</v>
      </c>
      <c r="I22" s="98"/>
      <c r="J22" s="137" t="s">
        <v>9</v>
      </c>
      <c r="K22" s="45"/>
      <c r="L22" s="137" t="s">
        <v>478</v>
      </c>
      <c r="M22" s="97" t="s">
        <v>540</v>
      </c>
    </row>
    <row r="23" spans="1:13" ht="57" customHeight="1">
      <c r="A23" s="105">
        <v>19</v>
      </c>
      <c r="B23" s="137" t="s">
        <v>476</v>
      </c>
      <c r="C23" s="41"/>
      <c r="D23" s="234" t="s">
        <v>9</v>
      </c>
      <c r="E23" s="45"/>
      <c r="F23" s="137" t="s">
        <v>478</v>
      </c>
      <c r="G23" s="231"/>
      <c r="H23" s="137" t="s">
        <v>476</v>
      </c>
      <c r="I23" s="97"/>
      <c r="J23" s="137" t="s">
        <v>477</v>
      </c>
      <c r="K23" s="45"/>
      <c r="L23" s="137" t="s">
        <v>473</v>
      </c>
      <c r="M23" s="43" t="s">
        <v>540</v>
      </c>
    </row>
    <row r="24" spans="1:13" ht="57" customHeight="1">
      <c r="A24" s="105">
        <v>20</v>
      </c>
      <c r="B24" s="137" t="s">
        <v>479</v>
      </c>
      <c r="C24" s="41"/>
      <c r="D24" s="234" t="s">
        <v>477</v>
      </c>
      <c r="E24" s="97" t="s">
        <v>12</v>
      </c>
      <c r="F24" s="137" t="s">
        <v>473</v>
      </c>
      <c r="G24" s="166"/>
      <c r="H24" s="137" t="s">
        <v>479</v>
      </c>
      <c r="I24" s="97"/>
      <c r="J24" s="137" t="s">
        <v>472</v>
      </c>
      <c r="K24" s="97" t="s">
        <v>12</v>
      </c>
      <c r="L24" s="137" t="s">
        <v>476</v>
      </c>
      <c r="M24" s="41"/>
    </row>
    <row r="25" spans="1:13" ht="57" customHeight="1">
      <c r="A25" s="105">
        <v>21</v>
      </c>
      <c r="B25" s="137" t="s">
        <v>9</v>
      </c>
      <c r="C25" s="41"/>
      <c r="D25" s="234" t="s">
        <v>472</v>
      </c>
      <c r="E25" s="43" t="s">
        <v>603</v>
      </c>
      <c r="F25" s="137" t="s">
        <v>476</v>
      </c>
      <c r="G25" s="41" t="s">
        <v>323</v>
      </c>
      <c r="H25" s="137" t="s">
        <v>9</v>
      </c>
      <c r="I25" s="46" t="s">
        <v>74</v>
      </c>
      <c r="J25" s="137" t="s">
        <v>478</v>
      </c>
      <c r="K25" s="115"/>
      <c r="L25" s="137" t="s">
        <v>479</v>
      </c>
      <c r="M25" s="43" t="s">
        <v>552</v>
      </c>
    </row>
    <row r="26" spans="1:13" ht="57" customHeight="1">
      <c r="A26" s="105">
        <v>22</v>
      </c>
      <c r="B26" s="137" t="s">
        <v>477</v>
      </c>
      <c r="C26" s="41"/>
      <c r="D26" s="234" t="s">
        <v>478</v>
      </c>
      <c r="E26" s="41" t="s">
        <v>556</v>
      </c>
      <c r="F26" s="137" t="s">
        <v>479</v>
      </c>
      <c r="G26" s="41"/>
      <c r="H26" s="137" t="s">
        <v>477</v>
      </c>
      <c r="I26" s="41"/>
      <c r="J26" s="137" t="s">
        <v>473</v>
      </c>
      <c r="K26" s="41" t="s">
        <v>303</v>
      </c>
      <c r="L26" s="137" t="s">
        <v>9</v>
      </c>
      <c r="M26" s="297" t="s">
        <v>557</v>
      </c>
    </row>
    <row r="27" spans="1:13" ht="57" customHeight="1">
      <c r="A27" s="105">
        <v>23</v>
      </c>
      <c r="B27" s="137" t="s">
        <v>472</v>
      </c>
      <c r="C27" s="41"/>
      <c r="D27" s="234" t="s">
        <v>473</v>
      </c>
      <c r="E27" s="41"/>
      <c r="F27" s="137" t="s">
        <v>9</v>
      </c>
      <c r="G27" s="41"/>
      <c r="H27" s="137" t="s">
        <v>472</v>
      </c>
      <c r="I27" s="42" t="s">
        <v>604</v>
      </c>
      <c r="J27" s="137" t="s">
        <v>476</v>
      </c>
      <c r="K27" s="41" t="s">
        <v>303</v>
      </c>
      <c r="L27" s="137" t="s">
        <v>477</v>
      </c>
      <c r="M27" s="46" t="s">
        <v>320</v>
      </c>
    </row>
    <row r="28" spans="1:13" ht="71.45" customHeight="1">
      <c r="A28" s="105">
        <v>24</v>
      </c>
      <c r="B28" s="137" t="s">
        <v>478</v>
      </c>
      <c r="C28" s="173" t="s">
        <v>605</v>
      </c>
      <c r="D28" s="234" t="s">
        <v>476</v>
      </c>
      <c r="E28" s="41"/>
      <c r="F28" s="137" t="s">
        <v>477</v>
      </c>
      <c r="G28" s="41"/>
      <c r="H28" s="137" t="s">
        <v>478</v>
      </c>
      <c r="I28" s="41"/>
      <c r="J28" s="137" t="s">
        <v>479</v>
      </c>
      <c r="K28" s="41" t="s">
        <v>303</v>
      </c>
      <c r="L28" s="137" t="s">
        <v>472</v>
      </c>
      <c r="M28" s="41" t="s">
        <v>606</v>
      </c>
    </row>
    <row r="29" spans="1:13" ht="107.45" customHeight="1">
      <c r="A29" s="105">
        <v>25</v>
      </c>
      <c r="B29" s="137" t="s">
        <v>473</v>
      </c>
      <c r="C29" s="43" t="s">
        <v>564</v>
      </c>
      <c r="D29" s="234" t="s">
        <v>479</v>
      </c>
      <c r="E29" s="46"/>
      <c r="F29" s="137" t="s">
        <v>472</v>
      </c>
      <c r="G29" s="41" t="s">
        <v>607</v>
      </c>
      <c r="H29" s="137" t="s">
        <v>473</v>
      </c>
      <c r="I29" s="198"/>
      <c r="J29" s="137" t="s">
        <v>9</v>
      </c>
      <c r="K29" s="41" t="s">
        <v>566</v>
      </c>
      <c r="L29" s="137" t="s">
        <v>478</v>
      </c>
      <c r="M29" s="187" t="s">
        <v>567</v>
      </c>
    </row>
    <row r="30" spans="1:13" ht="57" customHeight="1">
      <c r="A30" s="105">
        <v>26</v>
      </c>
      <c r="B30" s="137" t="s">
        <v>476</v>
      </c>
      <c r="C30" s="41"/>
      <c r="D30" s="234" t="s">
        <v>9</v>
      </c>
      <c r="E30" s="41"/>
      <c r="F30" s="137" t="s">
        <v>478</v>
      </c>
      <c r="G30" s="41"/>
      <c r="H30" s="137" t="s">
        <v>476</v>
      </c>
      <c r="I30" s="187" t="s">
        <v>365</v>
      </c>
      <c r="J30" s="137" t="s">
        <v>477</v>
      </c>
      <c r="K30" s="41" t="s">
        <v>566</v>
      </c>
      <c r="L30" s="137" t="s">
        <v>473</v>
      </c>
      <c r="M30" s="244" t="s">
        <v>571</v>
      </c>
    </row>
    <row r="31" spans="1:13" ht="79.7" customHeight="1">
      <c r="A31" s="105">
        <v>27</v>
      </c>
      <c r="B31" s="137" t="s">
        <v>479</v>
      </c>
      <c r="C31" s="41"/>
      <c r="D31" s="234" t="s">
        <v>477</v>
      </c>
      <c r="E31" s="41"/>
      <c r="F31" s="137" t="s">
        <v>473</v>
      </c>
      <c r="G31" s="41"/>
      <c r="H31" s="137" t="s">
        <v>479</v>
      </c>
      <c r="I31" s="187"/>
      <c r="J31" s="137" t="s">
        <v>472</v>
      </c>
      <c r="K31" s="41" t="s">
        <v>573</v>
      </c>
      <c r="L31" s="137" t="s">
        <v>476</v>
      </c>
      <c r="M31" s="187"/>
    </row>
    <row r="32" spans="1:13" ht="79.7" customHeight="1">
      <c r="A32" s="105">
        <v>28</v>
      </c>
      <c r="B32" s="137" t="s">
        <v>9</v>
      </c>
      <c r="C32" s="41" t="s">
        <v>12</v>
      </c>
      <c r="D32" s="234" t="s">
        <v>472</v>
      </c>
      <c r="E32" s="41"/>
      <c r="F32" s="137" t="s">
        <v>476</v>
      </c>
      <c r="G32" s="41"/>
      <c r="H32" s="137" t="s">
        <v>9</v>
      </c>
      <c r="I32" s="189"/>
      <c r="J32" s="137" t="s">
        <v>478</v>
      </c>
      <c r="K32" s="41" t="s">
        <v>573</v>
      </c>
      <c r="L32" s="137" t="s">
        <v>479</v>
      </c>
      <c r="M32" s="187"/>
    </row>
    <row r="33" spans="1:13" ht="79.7" customHeight="1">
      <c r="A33" s="105">
        <v>29</v>
      </c>
      <c r="B33" s="137" t="s">
        <v>477</v>
      </c>
      <c r="C33" s="46" t="s">
        <v>340</v>
      </c>
      <c r="D33" s="234" t="s">
        <v>478</v>
      </c>
      <c r="E33" s="51"/>
      <c r="F33" s="137" t="s">
        <v>479</v>
      </c>
      <c r="G33" s="41"/>
      <c r="H33" s="137" t="s">
        <v>477</v>
      </c>
      <c r="I33" s="289" t="s">
        <v>365</v>
      </c>
      <c r="J33" s="137" t="s">
        <v>473</v>
      </c>
      <c r="K33" s="41" t="s">
        <v>573</v>
      </c>
      <c r="L33" s="137" t="s">
        <v>9</v>
      </c>
      <c r="M33" s="187" t="s">
        <v>608</v>
      </c>
    </row>
    <row r="34" spans="1:13" ht="63.6" customHeight="1">
      <c r="A34" s="105">
        <v>30</v>
      </c>
      <c r="B34" s="137" t="s">
        <v>472</v>
      </c>
      <c r="C34" s="41"/>
      <c r="D34" s="234" t="s">
        <v>473</v>
      </c>
      <c r="E34" s="42" t="s">
        <v>579</v>
      </c>
      <c r="F34" s="137" t="s">
        <v>9</v>
      </c>
      <c r="G34" s="60" t="s">
        <v>580</v>
      </c>
      <c r="H34" s="137" t="s">
        <v>472</v>
      </c>
      <c r="I34" s="189" t="s">
        <v>581</v>
      </c>
      <c r="J34" s="137" t="s">
        <v>476</v>
      </c>
      <c r="K34" s="41" t="s">
        <v>582</v>
      </c>
      <c r="L34" s="137" t="s">
        <v>477</v>
      </c>
      <c r="M34" s="187" t="s">
        <v>583</v>
      </c>
    </row>
    <row r="35" spans="1:13" ht="57" customHeight="1">
      <c r="A35" s="105">
        <v>31</v>
      </c>
      <c r="B35" s="140"/>
      <c r="C35" s="87" t="s">
        <v>12</v>
      </c>
      <c r="D35" s="234" t="s">
        <v>476</v>
      </c>
      <c r="E35" s="288" t="s">
        <v>365</v>
      </c>
      <c r="F35" s="87"/>
      <c r="G35" s="87"/>
      <c r="H35" s="137" t="s">
        <v>478</v>
      </c>
      <c r="I35" s="60" t="s">
        <v>584</v>
      </c>
      <c r="J35" s="137" t="s">
        <v>479</v>
      </c>
      <c r="K35" s="51" t="s">
        <v>12</v>
      </c>
      <c r="L35" s="87"/>
      <c r="M35" s="87" t="s">
        <v>12</v>
      </c>
    </row>
  </sheetData>
  <mergeCells count="11">
    <mergeCell ref="L4:M4"/>
    <mergeCell ref="B1:E1"/>
    <mergeCell ref="I1:L1"/>
    <mergeCell ref="E2:G2"/>
    <mergeCell ref="K2:M2"/>
    <mergeCell ref="A3:M3"/>
    <mergeCell ref="B4:C4"/>
    <mergeCell ref="D4:E4"/>
    <mergeCell ref="F4:G4"/>
    <mergeCell ref="H4:I4"/>
    <mergeCell ref="J4:K4"/>
  </mergeCells>
  <phoneticPr fontId="19"/>
  <conditionalFormatting sqref="K19">
    <cfRule type="expression" dxfId="0" priority="1">
      <formula>K19&lt;&gt;#REF!</formula>
    </cfRule>
  </conditionalFormatting>
  <pageMargins left="0.7" right="0.7" top="0.75" bottom="0.75" header="0.3" footer="0.3"/>
  <pageSetup paperSize="9" scale="3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5"/>
  <sheetViews>
    <sheetView topLeftCell="A22" zoomScale="55" zoomScaleNormal="55" workbookViewId="0">
      <selection activeCell="H52" sqref="H52"/>
    </sheetView>
  </sheetViews>
  <sheetFormatPr defaultColWidth="8.875" defaultRowHeight="14.25"/>
  <cols>
    <col min="1" max="1" width="5.625" customWidth="1"/>
    <col min="2" max="2" width="37.5" customWidth="1"/>
    <col min="3" max="3" width="5.625" customWidth="1"/>
    <col min="4" max="4" width="37.625" customWidth="1"/>
    <col min="5" max="5" width="5.625" customWidth="1"/>
    <col min="6" max="6" width="37.5" customWidth="1"/>
    <col min="7" max="7" width="5.625" customWidth="1"/>
    <col min="8" max="8" width="37.5" customWidth="1"/>
    <col min="9" max="9" width="5.625" customWidth="1"/>
    <col min="10" max="10" width="37.5" customWidth="1"/>
    <col min="11" max="11" width="5.625" customWidth="1"/>
    <col min="12" max="12" width="37.125" customWidth="1"/>
    <col min="13" max="13" width="10.125" customWidth="1"/>
  </cols>
  <sheetData>
    <row r="1" spans="1:13" ht="28.35" customHeight="1">
      <c r="A1" s="92"/>
      <c r="B1" s="399" t="s">
        <v>457</v>
      </c>
      <c r="C1" s="399"/>
      <c r="D1" s="399"/>
      <c r="E1" s="399"/>
      <c r="F1" s="92"/>
      <c r="G1" s="93"/>
      <c r="H1" s="92"/>
      <c r="I1" s="399"/>
      <c r="J1" s="399"/>
      <c r="K1" s="399"/>
      <c r="L1" s="399"/>
      <c r="M1" s="92"/>
    </row>
    <row r="2" spans="1:13" ht="57" customHeight="1">
      <c r="A2" s="92"/>
      <c r="B2" s="92"/>
      <c r="C2" s="93"/>
      <c r="D2" s="93"/>
      <c r="E2" s="400"/>
      <c r="F2" s="400"/>
      <c r="G2" s="400"/>
      <c r="H2" s="92"/>
      <c r="I2" s="92"/>
      <c r="J2" s="93"/>
      <c r="K2" s="401" t="s">
        <v>586</v>
      </c>
      <c r="L2" s="401"/>
      <c r="M2" s="401"/>
    </row>
    <row r="3" spans="1:13" ht="57" customHeight="1">
      <c r="A3" s="398" t="s">
        <v>609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8.5">
      <c r="A4" s="392">
        <v>10</v>
      </c>
      <c r="B4" s="392"/>
      <c r="C4" s="392">
        <v>11</v>
      </c>
      <c r="D4" s="392"/>
      <c r="E4" s="392">
        <v>12</v>
      </c>
      <c r="F4" s="392"/>
      <c r="G4" s="392">
        <v>1</v>
      </c>
      <c r="H4" s="392"/>
      <c r="I4" s="392">
        <v>2</v>
      </c>
      <c r="J4" s="392"/>
      <c r="K4" s="392">
        <v>3</v>
      </c>
      <c r="L4" s="392"/>
      <c r="M4" s="139"/>
    </row>
    <row r="5" spans="1:13" ht="87" customHeight="1">
      <c r="A5" s="292" t="s">
        <v>468</v>
      </c>
      <c r="B5" s="41" t="s">
        <v>469</v>
      </c>
      <c r="C5" s="293" t="s">
        <v>470</v>
      </c>
      <c r="D5" s="189"/>
      <c r="E5" s="293" t="s">
        <v>467</v>
      </c>
      <c r="F5" s="41" t="s">
        <v>471</v>
      </c>
      <c r="G5" s="293" t="s">
        <v>463</v>
      </c>
      <c r="H5" s="46" t="s">
        <v>349</v>
      </c>
      <c r="I5" s="293" t="s">
        <v>464</v>
      </c>
      <c r="J5" s="50"/>
      <c r="K5" s="293" t="s">
        <v>464</v>
      </c>
      <c r="L5" s="50"/>
      <c r="M5" s="104">
        <v>1</v>
      </c>
    </row>
    <row r="6" spans="1:13" ht="142.35" customHeight="1">
      <c r="A6" s="292" t="s">
        <v>478</v>
      </c>
      <c r="B6" s="41"/>
      <c r="C6" s="293" t="s">
        <v>479</v>
      </c>
      <c r="D6" s="67"/>
      <c r="E6" s="293" t="s">
        <v>477</v>
      </c>
      <c r="F6" s="41" t="s">
        <v>480</v>
      </c>
      <c r="G6" s="293" t="s">
        <v>473</v>
      </c>
      <c r="H6" s="46" t="s">
        <v>357</v>
      </c>
      <c r="I6" s="293" t="s">
        <v>9</v>
      </c>
      <c r="J6" s="50"/>
      <c r="K6" s="293" t="s">
        <v>9</v>
      </c>
      <c r="L6" s="46" t="s">
        <v>481</v>
      </c>
      <c r="M6" s="105">
        <v>2</v>
      </c>
    </row>
    <row r="7" spans="1:13" ht="77.099999999999994" customHeight="1">
      <c r="A7" s="292" t="s">
        <v>473</v>
      </c>
      <c r="B7" s="41"/>
      <c r="C7" s="293" t="s">
        <v>9</v>
      </c>
      <c r="D7" s="46" t="s">
        <v>117</v>
      </c>
      <c r="E7" s="293" t="s">
        <v>472</v>
      </c>
      <c r="F7" s="41" t="s">
        <v>483</v>
      </c>
      <c r="G7" s="293" t="s">
        <v>476</v>
      </c>
      <c r="H7" s="46" t="s">
        <v>357</v>
      </c>
      <c r="I7" s="293" t="s">
        <v>477</v>
      </c>
      <c r="J7" s="50" t="s">
        <v>484</v>
      </c>
      <c r="K7" s="293" t="s">
        <v>477</v>
      </c>
      <c r="L7" s="41"/>
      <c r="M7" s="105">
        <v>3</v>
      </c>
    </row>
    <row r="8" spans="1:13" ht="81" customHeight="1">
      <c r="A8" s="292" t="s">
        <v>476</v>
      </c>
      <c r="B8" s="42"/>
      <c r="C8" s="293" t="s">
        <v>477</v>
      </c>
      <c r="D8" s="46"/>
      <c r="E8" s="293" t="s">
        <v>478</v>
      </c>
      <c r="F8" s="41" t="s">
        <v>487</v>
      </c>
      <c r="G8" s="293" t="s">
        <v>479</v>
      </c>
      <c r="H8" s="41"/>
      <c r="I8" s="293" t="s">
        <v>472</v>
      </c>
      <c r="J8" s="50" t="s">
        <v>365</v>
      </c>
      <c r="K8" s="293" t="s">
        <v>472</v>
      </c>
      <c r="L8" s="41"/>
      <c r="M8" s="105">
        <v>4</v>
      </c>
    </row>
    <row r="9" spans="1:13" ht="57" customHeight="1">
      <c r="A9" s="292" t="s">
        <v>479</v>
      </c>
      <c r="B9" s="42"/>
      <c r="C9" s="293" t="s">
        <v>472</v>
      </c>
      <c r="D9" s="41"/>
      <c r="E9" s="293" t="s">
        <v>473</v>
      </c>
      <c r="F9" s="50" t="s">
        <v>610</v>
      </c>
      <c r="G9" s="293" t="s">
        <v>9</v>
      </c>
      <c r="H9" s="41"/>
      <c r="I9" s="293" t="s">
        <v>478</v>
      </c>
      <c r="J9" s="246" t="s">
        <v>365</v>
      </c>
      <c r="K9" s="293" t="s">
        <v>478</v>
      </c>
      <c r="L9" s="41"/>
      <c r="M9" s="105">
        <v>5</v>
      </c>
    </row>
    <row r="10" spans="1:13" ht="84" customHeight="1">
      <c r="A10" s="292" t="s">
        <v>9</v>
      </c>
      <c r="B10" s="41"/>
      <c r="C10" s="293" t="s">
        <v>478</v>
      </c>
      <c r="D10" s="42" t="s">
        <v>495</v>
      </c>
      <c r="E10" s="293" t="s">
        <v>476</v>
      </c>
      <c r="F10" s="41"/>
      <c r="G10" s="293" t="s">
        <v>477</v>
      </c>
      <c r="H10" s="41"/>
      <c r="I10" s="293" t="s">
        <v>473</v>
      </c>
      <c r="J10" s="96" t="s">
        <v>496</v>
      </c>
      <c r="K10" s="293" t="s">
        <v>473</v>
      </c>
      <c r="L10" s="50" t="s">
        <v>497</v>
      </c>
      <c r="M10" s="105">
        <v>6</v>
      </c>
    </row>
    <row r="11" spans="1:13" ht="70.349999999999994" customHeight="1">
      <c r="A11" s="292" t="s">
        <v>477</v>
      </c>
      <c r="B11" s="42"/>
      <c r="C11" s="293" t="s">
        <v>473</v>
      </c>
      <c r="D11" s="42" t="s">
        <v>129</v>
      </c>
      <c r="E11" s="293" t="s">
        <v>479</v>
      </c>
      <c r="F11" s="42"/>
      <c r="G11" s="293" t="s">
        <v>472</v>
      </c>
      <c r="H11" s="102" t="s">
        <v>499</v>
      </c>
      <c r="I11" s="293" t="s">
        <v>476</v>
      </c>
      <c r="J11" s="45" t="s">
        <v>500</v>
      </c>
      <c r="K11" s="293" t="s">
        <v>476</v>
      </c>
      <c r="L11" s="41"/>
      <c r="M11" s="105">
        <v>7</v>
      </c>
    </row>
    <row r="12" spans="1:13" ht="57" customHeight="1">
      <c r="A12" s="292" t="s">
        <v>472</v>
      </c>
      <c r="B12" s="41"/>
      <c r="C12" s="293" t="s">
        <v>476</v>
      </c>
      <c r="D12" s="42" t="s">
        <v>131</v>
      </c>
      <c r="E12" s="293" t="s">
        <v>9</v>
      </c>
      <c r="F12" s="41"/>
      <c r="G12" s="293" t="s">
        <v>478</v>
      </c>
      <c r="H12" s="97"/>
      <c r="I12" s="293" t="s">
        <v>479</v>
      </c>
      <c r="J12" s="45" t="s">
        <v>611</v>
      </c>
      <c r="K12" s="293" t="s">
        <v>479</v>
      </c>
      <c r="L12" s="41" t="s">
        <v>12</v>
      </c>
      <c r="M12" s="105">
        <v>8</v>
      </c>
    </row>
    <row r="13" spans="1:13" ht="57" customHeight="1">
      <c r="A13" s="292" t="s">
        <v>478</v>
      </c>
      <c r="B13" s="43"/>
      <c r="C13" s="293" t="s">
        <v>479</v>
      </c>
      <c r="D13" s="41" t="s">
        <v>132</v>
      </c>
      <c r="E13" s="293" t="s">
        <v>477</v>
      </c>
      <c r="F13" s="45"/>
      <c r="G13" s="293" t="s">
        <v>473</v>
      </c>
      <c r="H13" s="102"/>
      <c r="I13" s="293" t="s">
        <v>9</v>
      </c>
      <c r="J13" s="122" t="s">
        <v>612</v>
      </c>
      <c r="K13" s="293" t="s">
        <v>9</v>
      </c>
      <c r="L13" s="41"/>
      <c r="M13" s="105">
        <v>9</v>
      </c>
    </row>
    <row r="14" spans="1:13" ht="57" customHeight="1">
      <c r="A14" s="292" t="s">
        <v>473</v>
      </c>
      <c r="B14" s="43"/>
      <c r="C14" s="293" t="s">
        <v>9</v>
      </c>
      <c r="D14" s="45" t="s">
        <v>512</v>
      </c>
      <c r="E14" s="293" t="s">
        <v>472</v>
      </c>
      <c r="F14" s="97" t="s">
        <v>513</v>
      </c>
      <c r="G14" s="293" t="s">
        <v>476</v>
      </c>
      <c r="H14" s="102"/>
      <c r="I14" s="293" t="s">
        <v>477</v>
      </c>
      <c r="J14" s="43" t="s">
        <v>514</v>
      </c>
      <c r="K14" s="293" t="s">
        <v>477</v>
      </c>
      <c r="L14" s="102" t="s">
        <v>115</v>
      </c>
      <c r="M14" s="105">
        <v>10</v>
      </c>
    </row>
    <row r="15" spans="1:13" ht="82.35" customHeight="1">
      <c r="A15" s="292" t="s">
        <v>476</v>
      </c>
      <c r="B15" s="41" t="s">
        <v>135</v>
      </c>
      <c r="C15" s="293" t="s">
        <v>477</v>
      </c>
      <c r="D15" s="42" t="s">
        <v>371</v>
      </c>
      <c r="E15" s="293" t="s">
        <v>478</v>
      </c>
      <c r="F15" s="41"/>
      <c r="G15" s="293" t="s">
        <v>479</v>
      </c>
      <c r="H15" s="97"/>
      <c r="I15" s="293" t="s">
        <v>472</v>
      </c>
      <c r="J15" s="131" t="s">
        <v>142</v>
      </c>
      <c r="K15" s="293" t="s">
        <v>472</v>
      </c>
      <c r="L15" s="102" t="s">
        <v>120</v>
      </c>
      <c r="M15" s="105">
        <v>11</v>
      </c>
    </row>
    <row r="16" spans="1:13" ht="82.35" customHeight="1">
      <c r="A16" s="292" t="s">
        <v>479</v>
      </c>
      <c r="B16" s="45" t="s">
        <v>135</v>
      </c>
      <c r="C16" s="293" t="s">
        <v>472</v>
      </c>
      <c r="D16" s="42" t="s">
        <v>371</v>
      </c>
      <c r="E16" s="293" t="s">
        <v>473</v>
      </c>
      <c r="F16" s="41" t="s">
        <v>517</v>
      </c>
      <c r="G16" s="293" t="s">
        <v>9</v>
      </c>
      <c r="H16" s="68" t="s">
        <v>613</v>
      </c>
      <c r="I16" s="293" t="s">
        <v>478</v>
      </c>
      <c r="J16" s="41" t="s">
        <v>518</v>
      </c>
      <c r="K16" s="293" t="s">
        <v>478</v>
      </c>
      <c r="L16" s="102" t="s">
        <v>519</v>
      </c>
      <c r="M16" s="105">
        <v>12</v>
      </c>
    </row>
    <row r="17" spans="1:13" ht="74.45" customHeight="1">
      <c r="A17" s="292" t="s">
        <v>9</v>
      </c>
      <c r="B17" s="42" t="s">
        <v>521</v>
      </c>
      <c r="C17" s="293" t="s">
        <v>478</v>
      </c>
      <c r="D17" s="41"/>
      <c r="E17" s="293" t="s">
        <v>476</v>
      </c>
      <c r="F17" s="46"/>
      <c r="G17" s="293" t="s">
        <v>477</v>
      </c>
      <c r="H17" s="216"/>
      <c r="I17" s="293" t="s">
        <v>473</v>
      </c>
      <c r="J17" s="173" t="s">
        <v>522</v>
      </c>
      <c r="K17" s="293" t="s">
        <v>473</v>
      </c>
      <c r="L17" s="102" t="s">
        <v>147</v>
      </c>
      <c r="M17" s="105">
        <v>13</v>
      </c>
    </row>
    <row r="18" spans="1:13" ht="57" customHeight="1">
      <c r="A18" s="292" t="s">
        <v>477</v>
      </c>
      <c r="B18" s="126"/>
      <c r="C18" s="293" t="s">
        <v>473</v>
      </c>
      <c r="D18" s="47" t="s">
        <v>12</v>
      </c>
      <c r="E18" s="293" t="s">
        <v>479</v>
      </c>
      <c r="F18" s="41"/>
      <c r="G18" s="293" t="s">
        <v>472</v>
      </c>
      <c r="H18" s="43" t="s">
        <v>526</v>
      </c>
      <c r="I18" s="293" t="s">
        <v>476</v>
      </c>
      <c r="J18" s="173" t="s">
        <v>500</v>
      </c>
      <c r="K18" s="293" t="s">
        <v>476</v>
      </c>
      <c r="L18" s="102"/>
      <c r="M18" s="105">
        <v>14</v>
      </c>
    </row>
    <row r="19" spans="1:13" ht="82.35" customHeight="1">
      <c r="A19" s="292" t="s">
        <v>472</v>
      </c>
      <c r="B19" s="41" t="s">
        <v>529</v>
      </c>
      <c r="C19" s="293" t="s">
        <v>476</v>
      </c>
      <c r="D19" s="43"/>
      <c r="E19" s="293" t="s">
        <v>9</v>
      </c>
      <c r="F19" s="47" t="s">
        <v>530</v>
      </c>
      <c r="G19" s="293" t="s">
        <v>478</v>
      </c>
      <c r="H19" s="42"/>
      <c r="I19" s="293" t="s">
        <v>479</v>
      </c>
      <c r="J19" s="41" t="s">
        <v>614</v>
      </c>
      <c r="K19" s="293" t="s">
        <v>479</v>
      </c>
      <c r="L19" s="103"/>
      <c r="M19" s="105">
        <v>15</v>
      </c>
    </row>
    <row r="20" spans="1:13" ht="82.35" customHeight="1">
      <c r="A20" s="292" t="s">
        <v>478</v>
      </c>
      <c r="B20" s="45" t="s">
        <v>536</v>
      </c>
      <c r="C20" s="293" t="s">
        <v>479</v>
      </c>
      <c r="D20" s="41" t="s">
        <v>448</v>
      </c>
      <c r="E20" s="293" t="s">
        <v>477</v>
      </c>
      <c r="F20" s="102" t="s">
        <v>530</v>
      </c>
      <c r="G20" s="293" t="s">
        <v>473</v>
      </c>
      <c r="H20" s="102" t="s">
        <v>537</v>
      </c>
      <c r="I20" s="293" t="s">
        <v>9</v>
      </c>
      <c r="J20" s="41" t="s">
        <v>538</v>
      </c>
      <c r="K20" s="293" t="s">
        <v>9</v>
      </c>
      <c r="L20" s="43" t="s">
        <v>162</v>
      </c>
      <c r="M20" s="105">
        <v>16</v>
      </c>
    </row>
    <row r="21" spans="1:13" ht="79.7" customHeight="1">
      <c r="A21" s="292" t="s">
        <v>473</v>
      </c>
      <c r="B21" s="41"/>
      <c r="C21" s="293" t="s">
        <v>9</v>
      </c>
      <c r="D21" s="41"/>
      <c r="E21" s="293" t="s">
        <v>472</v>
      </c>
      <c r="F21" s="134" t="s">
        <v>541</v>
      </c>
      <c r="G21" s="293" t="s">
        <v>476</v>
      </c>
      <c r="H21" s="97" t="s">
        <v>542</v>
      </c>
      <c r="I21" s="293" t="s">
        <v>477</v>
      </c>
      <c r="J21" s="41" t="s">
        <v>543</v>
      </c>
      <c r="K21" s="293" t="s">
        <v>477</v>
      </c>
      <c r="L21" s="102"/>
      <c r="M21" s="105">
        <v>17</v>
      </c>
    </row>
    <row r="22" spans="1:13" ht="57" customHeight="1">
      <c r="A22" s="292" t="s">
        <v>476</v>
      </c>
      <c r="B22" s="42"/>
      <c r="C22" s="293" t="s">
        <v>477</v>
      </c>
      <c r="D22" s="43"/>
      <c r="E22" s="293" t="s">
        <v>478</v>
      </c>
      <c r="F22" s="245"/>
      <c r="G22" s="293" t="s">
        <v>479</v>
      </c>
      <c r="H22" s="43" t="s">
        <v>546</v>
      </c>
      <c r="I22" s="293" t="s">
        <v>472</v>
      </c>
      <c r="J22" s="291" t="s">
        <v>547</v>
      </c>
      <c r="K22" s="293" t="s">
        <v>472</v>
      </c>
      <c r="L22" s="102"/>
      <c r="M22" s="105">
        <v>18</v>
      </c>
    </row>
    <row r="23" spans="1:13" ht="57" customHeight="1">
      <c r="A23" s="292" t="s">
        <v>479</v>
      </c>
      <c r="B23" s="102"/>
      <c r="C23" s="293" t="s">
        <v>472</v>
      </c>
      <c r="D23" s="51" t="s">
        <v>548</v>
      </c>
      <c r="E23" s="293" t="s">
        <v>473</v>
      </c>
      <c r="F23" s="134"/>
      <c r="G23" s="293" t="s">
        <v>9</v>
      </c>
      <c r="H23" s="41"/>
      <c r="I23" s="293" t="s">
        <v>478</v>
      </c>
      <c r="J23" s="97" t="s">
        <v>540</v>
      </c>
      <c r="K23" s="293" t="s">
        <v>478</v>
      </c>
      <c r="L23" s="102"/>
      <c r="M23" s="105">
        <v>19</v>
      </c>
    </row>
    <row r="24" spans="1:13" ht="57" customHeight="1">
      <c r="A24" s="292" t="s">
        <v>9</v>
      </c>
      <c r="B24" s="294"/>
      <c r="C24" s="293" t="s">
        <v>478</v>
      </c>
      <c r="D24" s="43"/>
      <c r="E24" s="293" t="s">
        <v>476</v>
      </c>
      <c r="F24" s="135"/>
      <c r="G24" s="293" t="s">
        <v>477</v>
      </c>
      <c r="H24" s="43"/>
      <c r="I24" s="293" t="s">
        <v>473</v>
      </c>
      <c r="J24" s="115" t="s">
        <v>549</v>
      </c>
      <c r="K24" s="293" t="s">
        <v>473</v>
      </c>
      <c r="L24" s="40" t="s">
        <v>178</v>
      </c>
      <c r="M24" s="105">
        <v>20</v>
      </c>
    </row>
    <row r="25" spans="1:13" ht="57" customHeight="1">
      <c r="A25" s="292" t="s">
        <v>477</v>
      </c>
      <c r="B25" s="43" t="s">
        <v>553</v>
      </c>
      <c r="C25" s="293" t="s">
        <v>473</v>
      </c>
      <c r="D25" s="41" t="s">
        <v>554</v>
      </c>
      <c r="E25" s="293" t="s">
        <v>479</v>
      </c>
      <c r="F25" s="47"/>
      <c r="G25" s="293" t="s">
        <v>472</v>
      </c>
      <c r="H25" s="41" t="s">
        <v>555</v>
      </c>
      <c r="I25" s="293" t="s">
        <v>476</v>
      </c>
      <c r="J25" s="41"/>
      <c r="K25" s="293" t="s">
        <v>476</v>
      </c>
      <c r="L25" s="41" t="s">
        <v>12</v>
      </c>
      <c r="M25" s="105">
        <v>21</v>
      </c>
    </row>
    <row r="26" spans="1:13" ht="57" customHeight="1">
      <c r="A26" s="292" t="s">
        <v>472</v>
      </c>
      <c r="B26" s="41"/>
      <c r="C26" s="293" t="s">
        <v>476</v>
      </c>
      <c r="D26" s="230" t="s">
        <v>558</v>
      </c>
      <c r="E26" s="293" t="s">
        <v>9</v>
      </c>
      <c r="F26" s="60"/>
      <c r="G26" s="293" t="s">
        <v>478</v>
      </c>
      <c r="H26" s="42" t="s">
        <v>12</v>
      </c>
      <c r="I26" s="293" t="s">
        <v>479</v>
      </c>
      <c r="J26" s="41"/>
      <c r="K26" s="293" t="s">
        <v>479</v>
      </c>
      <c r="L26" s="41" t="s">
        <v>12</v>
      </c>
      <c r="M26" s="105">
        <v>22</v>
      </c>
    </row>
    <row r="27" spans="1:13" ht="57" customHeight="1">
      <c r="A27" s="292" t="s">
        <v>478</v>
      </c>
      <c r="B27" s="41"/>
      <c r="C27" s="293" t="s">
        <v>479</v>
      </c>
      <c r="D27" s="46" t="s">
        <v>438</v>
      </c>
      <c r="E27" s="293" t="s">
        <v>477</v>
      </c>
      <c r="F27" s="97"/>
      <c r="G27" s="293" t="s">
        <v>473</v>
      </c>
      <c r="H27" s="42" t="s">
        <v>12</v>
      </c>
      <c r="I27" s="293" t="s">
        <v>9</v>
      </c>
      <c r="J27" s="46" t="s">
        <v>560</v>
      </c>
      <c r="K27" s="293" t="s">
        <v>9</v>
      </c>
      <c r="L27" s="41" t="s">
        <v>12</v>
      </c>
      <c r="M27" s="105">
        <v>23</v>
      </c>
    </row>
    <row r="28" spans="1:13" ht="57" customHeight="1">
      <c r="A28" s="292" t="s">
        <v>473</v>
      </c>
      <c r="B28" s="41"/>
      <c r="C28" s="293" t="s">
        <v>9</v>
      </c>
      <c r="D28" s="41" t="s">
        <v>562</v>
      </c>
      <c r="E28" s="293" t="s">
        <v>472</v>
      </c>
      <c r="F28" s="60" t="s">
        <v>615</v>
      </c>
      <c r="G28" s="293" t="s">
        <v>476</v>
      </c>
      <c r="H28" s="42"/>
      <c r="I28" s="293" t="s">
        <v>477</v>
      </c>
      <c r="J28" s="60" t="s">
        <v>540</v>
      </c>
      <c r="K28" s="293" t="s">
        <v>477</v>
      </c>
      <c r="L28" s="41"/>
      <c r="M28" s="105">
        <v>24</v>
      </c>
    </row>
    <row r="29" spans="1:13" ht="57" customHeight="1">
      <c r="A29" s="292" t="s">
        <v>476</v>
      </c>
      <c r="B29" s="41"/>
      <c r="C29" s="293" t="s">
        <v>477</v>
      </c>
      <c r="D29" s="41"/>
      <c r="E29" s="293" t="s">
        <v>478</v>
      </c>
      <c r="F29" s="100" t="s">
        <v>568</v>
      </c>
      <c r="G29" s="293" t="s">
        <v>479</v>
      </c>
      <c r="H29" s="42"/>
      <c r="I29" s="293" t="s">
        <v>472</v>
      </c>
      <c r="J29" s="41" t="s">
        <v>569</v>
      </c>
      <c r="K29" s="293" t="s">
        <v>472</v>
      </c>
      <c r="L29" s="41"/>
      <c r="M29" s="105">
        <v>25</v>
      </c>
    </row>
    <row r="30" spans="1:13" ht="57" customHeight="1">
      <c r="A30" s="292" t="s">
        <v>479</v>
      </c>
      <c r="B30" s="41"/>
      <c r="C30" s="293" t="s">
        <v>472</v>
      </c>
      <c r="D30" s="50" t="s">
        <v>365</v>
      </c>
      <c r="E30" s="293" t="s">
        <v>473</v>
      </c>
      <c r="F30" s="43"/>
      <c r="G30" s="293" t="s">
        <v>9</v>
      </c>
      <c r="H30" s="41" t="s">
        <v>12</v>
      </c>
      <c r="I30" s="293" t="s">
        <v>478</v>
      </c>
      <c r="J30" s="54" t="s">
        <v>572</v>
      </c>
      <c r="K30" s="293" t="s">
        <v>478</v>
      </c>
      <c r="L30" s="41"/>
      <c r="M30" s="105">
        <v>26</v>
      </c>
    </row>
    <row r="31" spans="1:13" ht="57" customHeight="1">
      <c r="A31" s="292" t="s">
        <v>9</v>
      </c>
      <c r="B31" s="43"/>
      <c r="C31" s="293" t="s">
        <v>478</v>
      </c>
      <c r="D31" s="50" t="s">
        <v>365</v>
      </c>
      <c r="E31" s="293" t="s">
        <v>476</v>
      </c>
      <c r="F31" s="41"/>
      <c r="G31" s="293" t="s">
        <v>477</v>
      </c>
      <c r="H31" s="41" t="s">
        <v>12</v>
      </c>
      <c r="I31" s="293" t="s">
        <v>473</v>
      </c>
      <c r="J31" s="50" t="s">
        <v>616</v>
      </c>
      <c r="K31" s="293" t="s">
        <v>473</v>
      </c>
      <c r="L31" s="41"/>
      <c r="M31" s="105">
        <v>27</v>
      </c>
    </row>
    <row r="32" spans="1:13" ht="57" customHeight="1">
      <c r="A32" s="292" t="s">
        <v>477</v>
      </c>
      <c r="B32" s="41"/>
      <c r="C32" s="293" t="s">
        <v>473</v>
      </c>
      <c r="D32" s="50" t="s">
        <v>576</v>
      </c>
      <c r="E32" s="293" t="s">
        <v>479</v>
      </c>
      <c r="F32" s="41"/>
      <c r="G32" s="293" t="s">
        <v>472</v>
      </c>
      <c r="H32" s="41"/>
      <c r="I32" s="293" t="s">
        <v>476</v>
      </c>
      <c r="J32" s="50" t="s">
        <v>365</v>
      </c>
      <c r="K32" s="293" t="s">
        <v>476</v>
      </c>
      <c r="L32" s="41"/>
      <c r="M32" s="105">
        <v>28</v>
      </c>
    </row>
    <row r="33" spans="1:13" ht="57" customHeight="1">
      <c r="A33" s="292" t="s">
        <v>472</v>
      </c>
      <c r="B33" s="41"/>
      <c r="C33" s="293" t="s">
        <v>476</v>
      </c>
      <c r="D33" s="41"/>
      <c r="E33" s="293" t="s">
        <v>9</v>
      </c>
      <c r="F33" s="46" t="s">
        <v>110</v>
      </c>
      <c r="G33" s="293" t="s">
        <v>478</v>
      </c>
      <c r="H33" s="41"/>
      <c r="I33" s="295"/>
      <c r="J33" s="295"/>
      <c r="K33" s="293" t="s">
        <v>479</v>
      </c>
      <c r="L33" s="41" t="s">
        <v>12</v>
      </c>
      <c r="M33" s="105">
        <v>29</v>
      </c>
    </row>
    <row r="34" spans="1:13" ht="57" customHeight="1">
      <c r="A34" s="292" t="s">
        <v>478</v>
      </c>
      <c r="B34" s="41" t="s">
        <v>12</v>
      </c>
      <c r="C34" s="293" t="s">
        <v>479</v>
      </c>
      <c r="D34" s="41"/>
      <c r="E34" s="293" t="s">
        <v>477</v>
      </c>
      <c r="F34" s="46" t="s">
        <v>110</v>
      </c>
      <c r="G34" s="293" t="s">
        <v>473</v>
      </c>
      <c r="H34" s="41" t="s">
        <v>12</v>
      </c>
      <c r="I34" s="295"/>
      <c r="J34" s="295" t="s">
        <v>12</v>
      </c>
      <c r="K34" s="293" t="s">
        <v>9</v>
      </c>
      <c r="L34" s="41" t="s">
        <v>12</v>
      </c>
      <c r="M34" s="105">
        <v>30</v>
      </c>
    </row>
    <row r="35" spans="1:13" ht="57" customHeight="1">
      <c r="A35" s="292" t="s">
        <v>473</v>
      </c>
      <c r="B35" s="51" t="s">
        <v>12</v>
      </c>
      <c r="C35" s="295"/>
      <c r="D35" s="295" t="s">
        <v>12</v>
      </c>
      <c r="E35" s="293" t="s">
        <v>472</v>
      </c>
      <c r="F35" s="229" t="s">
        <v>110</v>
      </c>
      <c r="G35" s="293" t="s">
        <v>476</v>
      </c>
      <c r="H35" s="288" t="s">
        <v>585</v>
      </c>
      <c r="I35" s="295"/>
      <c r="J35" s="295" t="s">
        <v>12</v>
      </c>
      <c r="K35" s="293" t="s">
        <v>477</v>
      </c>
      <c r="L35" s="51" t="s">
        <v>12</v>
      </c>
      <c r="M35" s="105">
        <v>31</v>
      </c>
    </row>
  </sheetData>
  <mergeCells count="11">
    <mergeCell ref="K4:L4"/>
    <mergeCell ref="A3:M3"/>
    <mergeCell ref="B1:E1"/>
    <mergeCell ref="I1:L1"/>
    <mergeCell ref="E2:G2"/>
    <mergeCell ref="K2:M2"/>
    <mergeCell ref="A4:B4"/>
    <mergeCell ref="C4:D4"/>
    <mergeCell ref="E4:F4"/>
    <mergeCell ref="G4:H4"/>
    <mergeCell ref="I4:J4"/>
  </mergeCells>
  <phoneticPr fontId="19"/>
  <pageMargins left="0.7" right="0.7" top="0.75" bottom="0.75" header="0.3" footer="0.3"/>
  <pageSetup paperSize="9" scale="3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"/>
  <sheetViews>
    <sheetView workbookViewId="0">
      <selection activeCell="N13" sqref="N13"/>
    </sheetView>
  </sheetViews>
  <sheetFormatPr defaultColWidth="8.875" defaultRowHeight="14.25"/>
  <sheetData/>
  <phoneticPr fontId="19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C19"/>
  <sheetViews>
    <sheetView workbookViewId="0">
      <selection activeCell="N13" sqref="N13"/>
    </sheetView>
  </sheetViews>
  <sheetFormatPr defaultColWidth="8.875" defaultRowHeight="14.25"/>
  <cols>
    <col min="1" max="1" width="15.625" customWidth="1"/>
    <col min="2" max="2" width="10.375" bestFit="1" customWidth="1"/>
  </cols>
  <sheetData>
    <row r="1" spans="1:3">
      <c r="A1" s="34" t="s">
        <v>81</v>
      </c>
    </row>
    <row r="2" spans="1:3" ht="15">
      <c r="A2" s="35" t="s">
        <v>340</v>
      </c>
      <c r="B2" s="36">
        <v>45045</v>
      </c>
      <c r="C2" s="33"/>
    </row>
    <row r="3" spans="1:3" ht="15">
      <c r="A3" s="35" t="s">
        <v>21</v>
      </c>
      <c r="B3" s="36">
        <v>45049</v>
      </c>
      <c r="C3" s="33"/>
    </row>
    <row r="4" spans="1:3" ht="15">
      <c r="A4" s="35" t="s">
        <v>252</v>
      </c>
      <c r="B4" s="36">
        <v>45050</v>
      </c>
      <c r="C4" s="33"/>
    </row>
    <row r="5" spans="1:3" ht="15">
      <c r="A5" s="35" t="s">
        <v>256</v>
      </c>
      <c r="B5" s="36">
        <v>45051</v>
      </c>
      <c r="C5" s="33"/>
    </row>
    <row r="6" spans="1:3" ht="15">
      <c r="A6" s="35" t="s">
        <v>74</v>
      </c>
      <c r="B6" s="36">
        <v>45124</v>
      </c>
      <c r="C6" s="33"/>
    </row>
    <row r="7" spans="1:3" ht="15">
      <c r="A7" s="35" t="s">
        <v>55</v>
      </c>
      <c r="B7" s="36">
        <v>45149</v>
      </c>
      <c r="C7" s="33"/>
    </row>
    <row r="8" spans="1:3" ht="15">
      <c r="A8" s="35" t="s">
        <v>78</v>
      </c>
      <c r="B8" s="36">
        <v>45187</v>
      </c>
      <c r="C8" s="33"/>
    </row>
    <row r="9" spans="1:3" ht="15">
      <c r="A9" s="35" t="s">
        <v>320</v>
      </c>
      <c r="B9" s="36">
        <v>45192</v>
      </c>
      <c r="C9" s="33"/>
    </row>
    <row r="10" spans="1:3" ht="15">
      <c r="A10" s="35" t="s">
        <v>617</v>
      </c>
      <c r="B10" s="36">
        <v>45208</v>
      </c>
      <c r="C10" s="33"/>
    </row>
    <row r="11" spans="1:3" ht="15">
      <c r="A11" s="35" t="s">
        <v>482</v>
      </c>
      <c r="B11" s="36">
        <v>45233</v>
      </c>
      <c r="C11" s="33"/>
    </row>
    <row r="12" spans="1:3" ht="15">
      <c r="A12" s="35" t="s">
        <v>438</v>
      </c>
      <c r="B12" s="36">
        <v>45253</v>
      </c>
    </row>
    <row r="13" spans="1:3" ht="15">
      <c r="A13" s="35" t="s">
        <v>618</v>
      </c>
      <c r="B13" s="36">
        <v>45292</v>
      </c>
    </row>
    <row r="14" spans="1:3" ht="15">
      <c r="A14" s="35" t="s">
        <v>141</v>
      </c>
      <c r="B14" s="36">
        <v>45299</v>
      </c>
    </row>
    <row r="15" spans="1:3" ht="15">
      <c r="A15" s="35" t="s">
        <v>142</v>
      </c>
      <c r="B15" s="36">
        <v>45334</v>
      </c>
    </row>
    <row r="16" spans="1:3" ht="15">
      <c r="A16" s="35" t="s">
        <v>560</v>
      </c>
      <c r="B16" s="36">
        <v>45345</v>
      </c>
    </row>
    <row r="17" spans="1:2" ht="15">
      <c r="A17" s="35" t="s">
        <v>178</v>
      </c>
      <c r="B17" s="36">
        <v>45371</v>
      </c>
    </row>
    <row r="18" spans="1:2">
      <c r="A18" s="37"/>
      <c r="B18" s="37"/>
    </row>
    <row r="19" spans="1:2">
      <c r="A19" s="37"/>
      <c r="B19" s="37"/>
    </row>
  </sheetData>
  <phoneticPr fontId="19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8132-53A7-4FA7-835A-7B975056F257}">
  <sheetPr>
    <tabColor theme="1"/>
  </sheetPr>
  <dimension ref="A1:G109"/>
  <sheetViews>
    <sheetView workbookViewId="0">
      <pane ySplit="2" topLeftCell="A3" activePane="bottomLeft" state="frozen"/>
      <selection pane="bottomLeft" activeCell="G8" sqref="G8"/>
    </sheetView>
  </sheetViews>
  <sheetFormatPr defaultColWidth="8.625" defaultRowHeight="13.5"/>
  <cols>
    <col min="1" max="1" width="20.125" style="214" bestFit="1" customWidth="1"/>
    <col min="2" max="2" width="29" style="91" bestFit="1" customWidth="1"/>
    <col min="3" max="3" width="20.125" style="91" bestFit="1" customWidth="1"/>
    <col min="4" max="4" width="30" style="91" bestFit="1" customWidth="1"/>
    <col min="5" max="5" width="11.625" style="89" bestFit="1" customWidth="1"/>
    <col min="6" max="6" width="8.625" style="89" bestFit="1" customWidth="1"/>
    <col min="7" max="7" width="43.125" style="89" bestFit="1" customWidth="1"/>
    <col min="8" max="16384" width="8.625" style="89"/>
  </cols>
  <sheetData>
    <row r="1" spans="1:7">
      <c r="A1" s="402" t="s">
        <v>619</v>
      </c>
      <c r="B1" s="402"/>
      <c r="C1" s="403" t="s">
        <v>620</v>
      </c>
      <c r="D1" s="403"/>
      <c r="E1" s="404" t="s">
        <v>621</v>
      </c>
      <c r="F1" s="404" t="s">
        <v>622</v>
      </c>
      <c r="G1" s="405" t="s">
        <v>623</v>
      </c>
    </row>
    <row r="2" spans="1:7">
      <c r="A2" s="211" t="s">
        <v>624</v>
      </c>
      <c r="B2" s="76" t="s">
        <v>625</v>
      </c>
      <c r="C2" s="88" t="s">
        <v>624</v>
      </c>
      <c r="D2" s="88" t="s">
        <v>625</v>
      </c>
      <c r="E2" s="404"/>
      <c r="F2" s="404"/>
      <c r="G2" s="406"/>
    </row>
    <row r="3" spans="1:7">
      <c r="A3" s="212"/>
      <c r="B3" s="77"/>
      <c r="C3" s="212">
        <v>46348</v>
      </c>
      <c r="D3" s="77" t="s">
        <v>626</v>
      </c>
      <c r="E3" s="79">
        <v>45898</v>
      </c>
      <c r="F3" s="80" t="s">
        <v>627</v>
      </c>
      <c r="G3" s="90" t="s">
        <v>628</v>
      </c>
    </row>
    <row r="4" spans="1:7">
      <c r="A4" s="367" t="s">
        <v>629</v>
      </c>
      <c r="B4" s="366" t="s">
        <v>630</v>
      </c>
      <c r="C4" s="365" t="s">
        <v>631</v>
      </c>
      <c r="D4" s="366" t="s">
        <v>630</v>
      </c>
      <c r="E4" s="262">
        <v>45945</v>
      </c>
      <c r="F4" s="368" t="s">
        <v>632</v>
      </c>
      <c r="G4" s="261" t="s">
        <v>633</v>
      </c>
    </row>
    <row r="5" spans="1:7">
      <c r="A5" s="263"/>
      <c r="B5" s="369"/>
      <c r="C5" s="266" t="s">
        <v>634</v>
      </c>
      <c r="D5" s="264" t="s">
        <v>635</v>
      </c>
      <c r="E5" s="266">
        <v>45952</v>
      </c>
      <c r="F5" s="267" t="s">
        <v>636</v>
      </c>
      <c r="G5" s="265" t="s">
        <v>637</v>
      </c>
    </row>
    <row r="6" spans="1:7">
      <c r="A6" s="269"/>
      <c r="B6" s="270"/>
      <c r="C6" s="266" t="s">
        <v>638</v>
      </c>
      <c r="D6" s="265" t="s">
        <v>639</v>
      </c>
      <c r="E6" s="266">
        <v>45952</v>
      </c>
      <c r="F6" s="267" t="s">
        <v>636</v>
      </c>
      <c r="G6" s="265" t="s">
        <v>640</v>
      </c>
    </row>
    <row r="7" spans="1:7">
      <c r="A7" s="268"/>
      <c r="B7" s="270"/>
      <c r="C7" s="266" t="s">
        <v>641</v>
      </c>
      <c r="D7" s="270" t="s">
        <v>642</v>
      </c>
      <c r="E7" s="266">
        <v>46000</v>
      </c>
      <c r="F7" s="267" t="s">
        <v>632</v>
      </c>
      <c r="G7" s="265" t="s">
        <v>643</v>
      </c>
    </row>
    <row r="8" spans="1:7">
      <c r="A8" s="82"/>
      <c r="B8" s="77"/>
      <c r="C8" s="82">
        <v>46121</v>
      </c>
      <c r="D8" s="77" t="s">
        <v>644</v>
      </c>
      <c r="E8" s="79">
        <v>46037</v>
      </c>
      <c r="F8" s="80" t="s">
        <v>645</v>
      </c>
      <c r="G8" s="90"/>
    </row>
    <row r="9" spans="1:7">
      <c r="A9" s="78"/>
      <c r="B9" s="83"/>
      <c r="C9" s="82"/>
      <c r="D9" s="83"/>
      <c r="E9" s="79"/>
      <c r="F9" s="80"/>
      <c r="G9" s="271"/>
    </row>
    <row r="10" spans="1:7">
      <c r="A10" s="78"/>
      <c r="B10" s="81"/>
      <c r="C10" s="78"/>
      <c r="D10" s="81"/>
      <c r="E10" s="79"/>
      <c r="F10" s="80"/>
      <c r="G10" s="90"/>
    </row>
    <row r="11" spans="1:7">
      <c r="A11" s="78"/>
      <c r="B11" s="83"/>
      <c r="C11" s="78"/>
      <c r="D11" s="83"/>
      <c r="E11" s="79"/>
      <c r="F11" s="80"/>
      <c r="G11" s="90"/>
    </row>
    <row r="12" spans="1:7">
      <c r="A12" s="78"/>
      <c r="B12" s="81"/>
      <c r="C12" s="78"/>
      <c r="D12" s="81"/>
      <c r="E12" s="79"/>
      <c r="F12" s="80"/>
      <c r="G12" s="90"/>
    </row>
    <row r="13" spans="1:7">
      <c r="A13" s="78"/>
      <c r="B13" s="81"/>
      <c r="C13" s="78"/>
      <c r="D13" s="81"/>
      <c r="E13" s="79"/>
      <c r="F13" s="80"/>
      <c r="G13" s="90"/>
    </row>
    <row r="14" spans="1:7">
      <c r="A14" s="78"/>
      <c r="B14" s="81"/>
      <c r="C14" s="78"/>
      <c r="D14" s="81"/>
      <c r="E14" s="79"/>
      <c r="F14" s="80"/>
      <c r="G14" s="90"/>
    </row>
    <row r="15" spans="1:7">
      <c r="A15" s="78"/>
      <c r="B15" s="81"/>
      <c r="C15" s="78"/>
      <c r="D15" s="81"/>
      <c r="E15" s="79"/>
      <c r="F15" s="80"/>
      <c r="G15" s="90"/>
    </row>
    <row r="16" spans="1:7">
      <c r="A16" s="78"/>
      <c r="B16" s="81"/>
      <c r="C16" s="78"/>
      <c r="D16" s="81"/>
      <c r="E16" s="79"/>
      <c r="F16" s="80"/>
      <c r="G16" s="90"/>
    </row>
    <row r="17" spans="1:7" ht="18">
      <c r="A17" s="78"/>
      <c r="B17" s="81"/>
      <c r="C17" s="78"/>
      <c r="D17" s="274"/>
      <c r="E17" s="79"/>
      <c r="F17" s="80"/>
      <c r="G17" s="90"/>
    </row>
    <row r="18" spans="1:7">
      <c r="A18" s="78"/>
      <c r="B18" s="81"/>
      <c r="C18" s="78"/>
      <c r="D18" s="81"/>
      <c r="E18" s="84"/>
      <c r="F18" s="81"/>
      <c r="G18" s="90"/>
    </row>
    <row r="19" spans="1:7">
      <c r="A19" s="78"/>
      <c r="B19" s="81"/>
      <c r="C19" s="78"/>
      <c r="D19" s="81"/>
      <c r="E19" s="84"/>
      <c r="F19" s="81"/>
      <c r="G19" s="90"/>
    </row>
    <row r="20" spans="1:7">
      <c r="A20" s="78"/>
      <c r="B20" s="81"/>
      <c r="C20" s="78"/>
      <c r="D20" s="81"/>
      <c r="E20" s="84"/>
      <c r="F20" s="81"/>
      <c r="G20" s="90"/>
    </row>
    <row r="21" spans="1:7">
      <c r="A21" s="78"/>
      <c r="B21" s="81"/>
      <c r="C21" s="78"/>
      <c r="D21" s="81"/>
      <c r="E21" s="84"/>
      <c r="F21" s="81"/>
      <c r="G21" s="90"/>
    </row>
    <row r="22" spans="1:7">
      <c r="A22" s="78"/>
      <c r="B22" s="81"/>
      <c r="C22" s="78"/>
      <c r="D22" s="81"/>
      <c r="E22" s="84"/>
      <c r="F22" s="81"/>
      <c r="G22" s="90"/>
    </row>
    <row r="23" spans="1:7">
      <c r="A23" s="212"/>
      <c r="B23" s="77"/>
      <c r="C23" s="79"/>
      <c r="D23" s="77"/>
      <c r="E23" s="84"/>
      <c r="F23" s="81"/>
      <c r="G23" s="90"/>
    </row>
    <row r="24" spans="1:7">
      <c r="A24" s="78"/>
      <c r="B24" s="77"/>
      <c r="C24" s="78"/>
      <c r="D24" s="81"/>
      <c r="E24" s="84"/>
      <c r="F24" s="81"/>
      <c r="G24" s="90"/>
    </row>
    <row r="25" spans="1:7">
      <c r="A25" s="78"/>
      <c r="B25" s="81"/>
      <c r="C25" s="78"/>
      <c r="D25" s="81"/>
      <c r="E25" s="84"/>
      <c r="F25" s="81"/>
      <c r="G25" s="90"/>
    </row>
    <row r="26" spans="1:7">
      <c r="A26" s="78"/>
      <c r="B26" s="81"/>
      <c r="C26" s="78"/>
      <c r="D26" s="81"/>
      <c r="E26" s="84"/>
      <c r="F26" s="81"/>
      <c r="G26" s="90"/>
    </row>
    <row r="27" spans="1:7">
      <c r="A27" s="78"/>
      <c r="B27" s="81"/>
      <c r="C27" s="78"/>
      <c r="D27" s="81"/>
      <c r="E27" s="84"/>
      <c r="F27" s="81"/>
      <c r="G27" s="90"/>
    </row>
    <row r="28" spans="1:7">
      <c r="A28" s="78"/>
      <c r="B28" s="81"/>
      <c r="C28" s="78"/>
      <c r="D28" s="81"/>
      <c r="E28" s="84"/>
      <c r="F28" s="81"/>
      <c r="G28" s="90"/>
    </row>
    <row r="29" spans="1:7">
      <c r="A29" s="78"/>
      <c r="B29" s="81"/>
      <c r="C29" s="78"/>
      <c r="D29" s="81"/>
      <c r="E29" s="84"/>
      <c r="F29" s="81"/>
      <c r="G29" s="90"/>
    </row>
    <row r="30" spans="1:7">
      <c r="A30" s="213"/>
      <c r="B30" s="81"/>
      <c r="C30" s="213"/>
      <c r="D30" s="83"/>
      <c r="E30" s="84"/>
      <c r="F30" s="81"/>
      <c r="G30" s="271"/>
    </row>
    <row r="31" spans="1:7">
      <c r="A31" s="82"/>
      <c r="B31" s="83"/>
      <c r="C31" s="82"/>
      <c r="D31" s="83"/>
      <c r="E31" s="84"/>
      <c r="F31" s="81"/>
      <c r="G31" s="271"/>
    </row>
    <row r="32" spans="1:7">
      <c r="A32" s="82"/>
      <c r="B32" s="83"/>
      <c r="C32" s="82"/>
      <c r="D32" s="81"/>
      <c r="E32" s="84"/>
      <c r="F32" s="81"/>
      <c r="G32" s="90"/>
    </row>
    <row r="33" spans="1:7">
      <c r="A33" s="78"/>
      <c r="B33" s="81"/>
      <c r="C33" s="78"/>
      <c r="D33" s="81"/>
      <c r="E33" s="84"/>
      <c r="F33" s="81"/>
      <c r="G33" s="233"/>
    </row>
    <row r="34" spans="1:7">
      <c r="A34" s="78"/>
      <c r="B34" s="81"/>
      <c r="C34" s="78"/>
      <c r="D34" s="81"/>
      <c r="E34" s="84"/>
      <c r="F34" s="81"/>
      <c r="G34" s="233"/>
    </row>
    <row r="35" spans="1:7">
      <c r="A35" s="78"/>
      <c r="B35" s="81"/>
      <c r="C35" s="78"/>
      <c r="D35" s="81"/>
      <c r="E35" s="84"/>
      <c r="F35" s="81"/>
      <c r="G35" s="233"/>
    </row>
    <row r="36" spans="1:7">
      <c r="A36" s="78"/>
      <c r="B36" s="81"/>
      <c r="C36" s="78"/>
      <c r="D36" s="83"/>
      <c r="E36" s="84"/>
      <c r="F36" s="81"/>
      <c r="G36" s="233"/>
    </row>
    <row r="37" spans="1:7">
      <c r="A37" s="78"/>
      <c r="B37" s="83"/>
      <c r="C37" s="78"/>
      <c r="D37" s="83"/>
      <c r="E37" s="84"/>
      <c r="F37" s="81"/>
      <c r="G37" s="233"/>
    </row>
    <row r="38" spans="1:7">
      <c r="A38" s="78"/>
      <c r="B38" s="81"/>
      <c r="C38" s="78"/>
      <c r="D38" s="81"/>
      <c r="E38" s="84"/>
      <c r="F38" s="81"/>
      <c r="G38" s="233"/>
    </row>
    <row r="39" spans="1:7">
      <c r="A39" s="78"/>
      <c r="B39" s="81"/>
      <c r="C39" s="78"/>
      <c r="D39" s="81"/>
      <c r="E39" s="84"/>
      <c r="F39" s="81"/>
      <c r="G39" s="233"/>
    </row>
    <row r="40" spans="1:7">
      <c r="A40" s="78"/>
      <c r="B40" s="81"/>
      <c r="C40" s="78"/>
      <c r="D40" s="81"/>
      <c r="E40" s="84"/>
      <c r="F40" s="81"/>
      <c r="G40" s="233"/>
    </row>
    <row r="41" spans="1:7">
      <c r="A41" s="78"/>
      <c r="B41" s="81"/>
      <c r="C41" s="78"/>
      <c r="D41" s="81"/>
      <c r="E41" s="84"/>
      <c r="F41" s="81"/>
      <c r="G41" s="90"/>
    </row>
    <row r="42" spans="1:7">
      <c r="A42" s="78"/>
      <c r="B42" s="81"/>
      <c r="C42" s="78"/>
      <c r="D42" s="81"/>
      <c r="E42" s="84"/>
      <c r="F42" s="81"/>
      <c r="G42" s="90"/>
    </row>
    <row r="43" spans="1:7">
      <c r="A43" s="78"/>
      <c r="B43" s="81"/>
      <c r="C43" s="78"/>
      <c r="D43" s="81"/>
      <c r="E43" s="84"/>
      <c r="F43" s="81"/>
      <c r="G43" s="90"/>
    </row>
    <row r="44" spans="1:7">
      <c r="A44" s="78"/>
      <c r="B44" s="81"/>
      <c r="C44" s="78"/>
      <c r="D44" s="81"/>
      <c r="E44" s="84"/>
      <c r="F44" s="81"/>
      <c r="G44" s="90"/>
    </row>
    <row r="45" spans="1:7">
      <c r="A45" s="78"/>
      <c r="B45" s="81"/>
      <c r="C45" s="78"/>
      <c r="D45" s="81"/>
      <c r="E45" s="84"/>
      <c r="F45" s="81"/>
      <c r="G45" s="90"/>
    </row>
    <row r="46" spans="1:7">
      <c r="A46" s="78"/>
      <c r="B46" s="81"/>
      <c r="C46" s="78"/>
      <c r="D46" s="81"/>
      <c r="E46" s="84"/>
      <c r="F46" s="81"/>
      <c r="G46" s="90"/>
    </row>
    <row r="47" spans="1:7">
      <c r="A47" s="78"/>
      <c r="B47" s="81"/>
      <c r="C47" s="78"/>
      <c r="D47" s="81"/>
      <c r="E47" s="84"/>
      <c r="F47" s="81"/>
      <c r="G47" s="90"/>
    </row>
    <row r="48" spans="1:7">
      <c r="A48" s="78"/>
      <c r="B48" s="81"/>
      <c r="C48" s="78"/>
      <c r="D48" s="81"/>
      <c r="E48" s="84"/>
      <c r="F48" s="81"/>
      <c r="G48" s="90"/>
    </row>
    <row r="49" spans="1:7">
      <c r="A49" s="78"/>
      <c r="B49" s="81"/>
      <c r="C49" s="78"/>
      <c r="D49" s="81"/>
      <c r="E49" s="84"/>
      <c r="F49" s="81"/>
      <c r="G49" s="90"/>
    </row>
    <row r="50" spans="1:7">
      <c r="A50" s="78"/>
      <c r="B50" s="81"/>
      <c r="C50" s="78"/>
      <c r="D50" s="81"/>
      <c r="E50" s="84"/>
      <c r="F50" s="81"/>
      <c r="G50" s="90"/>
    </row>
    <row r="51" spans="1:7">
      <c r="A51" s="78"/>
      <c r="B51" s="81"/>
      <c r="C51" s="78"/>
      <c r="D51" s="81"/>
      <c r="E51" s="84"/>
      <c r="F51" s="81"/>
      <c r="G51" s="90"/>
    </row>
    <row r="52" spans="1:7">
      <c r="A52" s="78"/>
      <c r="B52" s="81"/>
      <c r="C52" s="78"/>
      <c r="D52" s="81"/>
      <c r="E52" s="84"/>
      <c r="F52" s="81"/>
      <c r="G52" s="90"/>
    </row>
    <row r="53" spans="1:7">
      <c r="A53" s="78"/>
      <c r="B53" s="81"/>
      <c r="C53" s="78"/>
      <c r="D53" s="81"/>
      <c r="E53" s="84"/>
      <c r="F53" s="81"/>
      <c r="G53" s="90"/>
    </row>
    <row r="54" spans="1:7">
      <c r="A54" s="78"/>
      <c r="B54" s="81"/>
      <c r="C54" s="78"/>
      <c r="D54" s="83"/>
      <c r="E54" s="84"/>
      <c r="F54" s="81"/>
      <c r="G54" s="90"/>
    </row>
    <row r="55" spans="1:7">
      <c r="A55" s="78"/>
      <c r="B55" s="83"/>
      <c r="C55" s="78"/>
      <c r="D55" s="81"/>
      <c r="E55" s="84"/>
      <c r="F55" s="81"/>
      <c r="G55" s="90"/>
    </row>
    <row r="56" spans="1:7">
      <c r="A56" s="78"/>
      <c r="B56" s="81"/>
      <c r="C56" s="78"/>
      <c r="D56" s="81"/>
      <c r="E56" s="84"/>
      <c r="F56" s="81"/>
      <c r="G56" s="90"/>
    </row>
    <row r="57" spans="1:7">
      <c r="A57" s="78"/>
      <c r="B57" s="81"/>
      <c r="C57" s="78"/>
      <c r="D57" s="81"/>
      <c r="E57" s="84"/>
      <c r="F57" s="81"/>
      <c r="G57" s="90"/>
    </row>
    <row r="58" spans="1:7">
      <c r="A58" s="78"/>
      <c r="B58" s="81"/>
      <c r="C58" s="78"/>
      <c r="D58" s="83"/>
      <c r="E58" s="84"/>
      <c r="F58" s="81"/>
      <c r="G58" s="90"/>
    </row>
    <row r="59" spans="1:7">
      <c r="A59" s="78"/>
      <c r="B59" s="81"/>
      <c r="C59" s="78"/>
      <c r="D59" s="81"/>
      <c r="E59" s="84"/>
      <c r="F59" s="81"/>
      <c r="G59" s="90"/>
    </row>
    <row r="60" spans="1:7">
      <c r="A60" s="78"/>
      <c r="B60" s="83"/>
      <c r="C60" s="78"/>
      <c r="D60" s="83"/>
      <c r="E60" s="84"/>
      <c r="F60" s="81"/>
      <c r="G60" s="90"/>
    </row>
    <row r="61" spans="1:7">
      <c r="A61" s="78"/>
      <c r="B61" s="81"/>
      <c r="C61" s="78"/>
      <c r="D61" s="81"/>
      <c r="E61" s="84"/>
      <c r="F61" s="81"/>
      <c r="G61" s="90"/>
    </row>
    <row r="62" spans="1:7">
      <c r="A62" s="78"/>
      <c r="B62" s="81"/>
      <c r="C62" s="78"/>
      <c r="D62" s="81"/>
      <c r="E62" s="84"/>
      <c r="F62" s="81"/>
      <c r="G62" s="90"/>
    </row>
    <row r="63" spans="1:7">
      <c r="A63" s="78"/>
      <c r="B63" s="83"/>
      <c r="C63" s="78"/>
      <c r="D63" s="81"/>
      <c r="E63" s="84"/>
      <c r="F63" s="81"/>
      <c r="G63" s="90"/>
    </row>
    <row r="64" spans="1:7">
      <c r="A64" s="78"/>
      <c r="B64" s="81"/>
      <c r="C64" s="78"/>
      <c r="D64" s="81"/>
      <c r="E64" s="84"/>
      <c r="F64" s="81"/>
      <c r="G64" s="90"/>
    </row>
    <row r="65" spans="1:7">
      <c r="A65" s="78"/>
      <c r="B65" s="81"/>
      <c r="C65" s="78"/>
      <c r="D65" s="81"/>
      <c r="E65" s="84"/>
      <c r="F65" s="81"/>
      <c r="G65" s="90"/>
    </row>
    <row r="66" spans="1:7">
      <c r="A66" s="78"/>
      <c r="B66" s="81"/>
      <c r="C66" s="78"/>
      <c r="D66" s="81"/>
      <c r="E66" s="84"/>
      <c r="F66" s="81"/>
      <c r="G66" s="90"/>
    </row>
    <row r="67" spans="1:7">
      <c r="A67" s="78"/>
      <c r="B67" s="81"/>
      <c r="C67" s="78"/>
      <c r="D67" s="81"/>
      <c r="E67" s="84"/>
      <c r="F67" s="81"/>
      <c r="G67" s="90"/>
    </row>
    <row r="68" spans="1:7">
      <c r="A68" s="78"/>
      <c r="B68" s="81"/>
      <c r="C68" s="78"/>
      <c r="D68" s="81"/>
      <c r="E68" s="84"/>
      <c r="F68" s="81"/>
      <c r="G68" s="90"/>
    </row>
    <row r="69" spans="1:7">
      <c r="A69" s="78"/>
      <c r="B69" s="81"/>
      <c r="C69" s="78"/>
      <c r="D69" s="81"/>
      <c r="E69" s="84"/>
      <c r="F69" s="81"/>
      <c r="G69" s="90"/>
    </row>
    <row r="70" spans="1:7">
      <c r="A70" s="78"/>
      <c r="B70" s="81"/>
      <c r="C70" s="78"/>
      <c r="D70" s="81"/>
      <c r="E70" s="84"/>
      <c r="F70" s="81"/>
      <c r="G70" s="90"/>
    </row>
    <row r="71" spans="1:7">
      <c r="A71" s="78"/>
      <c r="B71" s="81"/>
      <c r="C71" s="78"/>
      <c r="D71" s="81"/>
      <c r="E71" s="84"/>
      <c r="F71" s="81"/>
      <c r="G71" s="90"/>
    </row>
    <row r="72" spans="1:7">
      <c r="A72" s="78"/>
      <c r="B72" s="81"/>
      <c r="C72" s="78"/>
      <c r="D72" s="81"/>
      <c r="E72" s="84"/>
      <c r="F72" s="81"/>
      <c r="G72" s="90"/>
    </row>
    <row r="73" spans="1:7">
      <c r="A73" s="78"/>
      <c r="B73" s="81"/>
      <c r="C73" s="78"/>
      <c r="D73" s="81"/>
      <c r="E73" s="84"/>
      <c r="F73" s="81"/>
      <c r="G73" s="90"/>
    </row>
    <row r="74" spans="1:7">
      <c r="A74" s="78"/>
      <c r="B74" s="81"/>
      <c r="C74" s="78"/>
      <c r="D74" s="81"/>
      <c r="E74" s="84"/>
      <c r="F74" s="81"/>
      <c r="G74" s="90"/>
    </row>
    <row r="75" spans="1:7">
      <c r="A75" s="78"/>
      <c r="B75" s="81"/>
      <c r="C75" s="78"/>
      <c r="D75" s="81"/>
      <c r="E75" s="84"/>
      <c r="F75" s="81"/>
      <c r="G75" s="90"/>
    </row>
    <row r="76" spans="1:7">
      <c r="A76" s="78"/>
      <c r="B76" s="81"/>
      <c r="C76" s="78"/>
      <c r="D76" s="81"/>
      <c r="E76" s="84"/>
      <c r="F76" s="81"/>
      <c r="G76" s="90"/>
    </row>
    <row r="77" spans="1:7">
      <c r="A77" s="78"/>
      <c r="B77" s="81"/>
      <c r="C77" s="78"/>
      <c r="D77" s="81"/>
      <c r="E77" s="84"/>
      <c r="F77" s="81"/>
      <c r="G77" s="90"/>
    </row>
    <row r="78" spans="1:7">
      <c r="A78" s="78"/>
      <c r="B78" s="83"/>
      <c r="C78" s="78"/>
      <c r="D78" s="83"/>
      <c r="E78" s="84"/>
      <c r="F78" s="81"/>
      <c r="G78" s="90"/>
    </row>
    <row r="79" spans="1:7">
      <c r="A79" s="78"/>
      <c r="B79" s="83"/>
      <c r="C79" s="78"/>
      <c r="D79" s="83"/>
      <c r="E79" s="84"/>
      <c r="F79" s="81"/>
      <c r="G79" s="90"/>
    </row>
    <row r="80" spans="1:7">
      <c r="A80" s="78"/>
      <c r="B80" s="83"/>
      <c r="C80" s="78"/>
      <c r="D80" s="83"/>
      <c r="E80" s="84"/>
      <c r="F80" s="81"/>
      <c r="G80" s="90"/>
    </row>
    <row r="81" spans="1:7">
      <c r="A81" s="78"/>
      <c r="B81" s="81"/>
      <c r="C81" s="78"/>
      <c r="D81" s="81"/>
      <c r="E81" s="84"/>
      <c r="F81" s="81"/>
      <c r="G81" s="90"/>
    </row>
    <row r="82" spans="1:7">
      <c r="A82" s="78"/>
      <c r="B82" s="81"/>
      <c r="C82" s="78"/>
      <c r="D82" s="81"/>
      <c r="E82" s="84"/>
      <c r="F82" s="81"/>
      <c r="G82" s="90"/>
    </row>
    <row r="83" spans="1:7">
      <c r="A83" s="78"/>
      <c r="B83" s="81"/>
      <c r="C83" s="78"/>
      <c r="D83" s="81"/>
      <c r="E83" s="84"/>
      <c r="F83" s="81"/>
      <c r="G83" s="90"/>
    </row>
    <row r="84" spans="1:7">
      <c r="A84" s="78"/>
      <c r="B84" s="81"/>
      <c r="C84" s="78"/>
      <c r="D84" s="81"/>
      <c r="E84" s="84"/>
      <c r="F84" s="81"/>
      <c r="G84" s="90"/>
    </row>
    <row r="85" spans="1:7">
      <c r="A85" s="78"/>
      <c r="B85" s="81"/>
      <c r="C85" s="78"/>
      <c r="D85" s="81"/>
      <c r="E85" s="84"/>
      <c r="F85" s="81"/>
      <c r="G85" s="90"/>
    </row>
    <row r="86" spans="1:7">
      <c r="A86" s="78"/>
      <c r="B86" s="81"/>
      <c r="C86" s="78"/>
      <c r="D86" s="81"/>
      <c r="E86" s="84"/>
      <c r="F86" s="81"/>
      <c r="G86" s="90"/>
    </row>
    <row r="87" spans="1:7">
      <c r="A87" s="78"/>
      <c r="B87" s="81"/>
      <c r="C87" s="78"/>
      <c r="D87" s="81"/>
      <c r="E87" s="84"/>
      <c r="F87" s="81"/>
      <c r="G87" s="90"/>
    </row>
    <row r="88" spans="1:7">
      <c r="A88" s="78"/>
      <c r="B88" s="81"/>
      <c r="C88" s="78"/>
      <c r="D88" s="81"/>
      <c r="E88" s="84"/>
      <c r="F88" s="81"/>
      <c r="G88" s="90"/>
    </row>
    <row r="89" spans="1:7">
      <c r="A89" s="78"/>
      <c r="B89" s="81"/>
      <c r="C89" s="78"/>
      <c r="D89" s="81"/>
      <c r="E89" s="84"/>
      <c r="F89" s="81"/>
      <c r="G89" s="90"/>
    </row>
    <row r="90" spans="1:7">
      <c r="A90" s="78"/>
      <c r="B90" s="81"/>
      <c r="C90" s="78"/>
      <c r="D90" s="81"/>
      <c r="E90" s="84"/>
      <c r="F90" s="81"/>
      <c r="G90" s="90"/>
    </row>
    <row r="91" spans="1:7">
      <c r="A91" s="78"/>
      <c r="B91" s="81"/>
      <c r="C91" s="78"/>
      <c r="D91" s="81"/>
      <c r="E91" s="84"/>
      <c r="F91" s="81"/>
      <c r="G91" s="90"/>
    </row>
    <row r="92" spans="1:7">
      <c r="A92" s="78"/>
      <c r="B92" s="81"/>
      <c r="C92" s="78"/>
      <c r="D92" s="233"/>
      <c r="E92" s="84"/>
      <c r="F92" s="81"/>
      <c r="G92" s="90"/>
    </row>
    <row r="93" spans="1:7">
      <c r="A93" s="78"/>
      <c r="B93" s="81"/>
      <c r="C93" s="78"/>
      <c r="D93" s="81"/>
      <c r="E93" s="84"/>
      <c r="F93" s="81"/>
      <c r="G93" s="90"/>
    </row>
    <row r="94" spans="1:7">
      <c r="A94" s="78"/>
      <c r="B94" s="81"/>
      <c r="C94" s="78"/>
      <c r="D94" s="81"/>
      <c r="E94" s="84"/>
      <c r="F94" s="81"/>
      <c r="G94" s="90"/>
    </row>
    <row r="95" spans="1:7">
      <c r="A95" s="78"/>
      <c r="B95" s="81"/>
      <c r="C95" s="78"/>
      <c r="D95" s="81"/>
      <c r="E95" s="84"/>
      <c r="F95" s="81"/>
      <c r="G95" s="90"/>
    </row>
    <row r="96" spans="1:7">
      <c r="A96" s="78"/>
      <c r="B96" s="81"/>
      <c r="C96" s="78"/>
      <c r="D96" s="81"/>
      <c r="E96" s="84"/>
      <c r="F96" s="81"/>
      <c r="G96" s="90"/>
    </row>
    <row r="97" spans="1:7">
      <c r="A97" s="78"/>
      <c r="B97" s="81"/>
      <c r="C97" s="78"/>
      <c r="D97" s="81"/>
      <c r="E97" s="84"/>
      <c r="F97" s="81"/>
      <c r="G97" s="90"/>
    </row>
    <row r="98" spans="1:7">
      <c r="A98" s="78"/>
      <c r="B98" s="81"/>
      <c r="C98" s="78"/>
      <c r="D98" s="81"/>
      <c r="E98" s="84"/>
      <c r="F98" s="81"/>
      <c r="G98" s="90"/>
    </row>
    <row r="99" spans="1:7">
      <c r="A99" s="78"/>
      <c r="B99" s="81"/>
      <c r="C99" s="78"/>
      <c r="D99" s="81"/>
      <c r="E99" s="84"/>
      <c r="F99" s="81"/>
      <c r="G99" s="90"/>
    </row>
    <row r="100" spans="1:7">
      <c r="A100" s="78"/>
      <c r="B100" s="81"/>
      <c r="C100" s="78"/>
      <c r="D100" s="81"/>
      <c r="E100" s="84"/>
      <c r="F100" s="81"/>
      <c r="G100" s="90"/>
    </row>
    <row r="101" spans="1:7">
      <c r="A101" s="78"/>
      <c r="B101" s="81"/>
      <c r="C101" s="78"/>
      <c r="D101" s="81"/>
      <c r="E101" s="84"/>
      <c r="F101" s="81"/>
      <c r="G101" s="90"/>
    </row>
    <row r="102" spans="1:7">
      <c r="A102" s="78"/>
      <c r="B102" s="81"/>
      <c r="C102" s="78"/>
      <c r="D102" s="83"/>
      <c r="E102" s="84"/>
      <c r="F102" s="81"/>
      <c r="G102" s="90"/>
    </row>
    <row r="103" spans="1:7">
      <c r="A103" s="78"/>
      <c r="B103" s="81"/>
      <c r="C103" s="78"/>
      <c r="D103" s="83"/>
      <c r="E103" s="84"/>
      <c r="F103" s="81"/>
      <c r="G103" s="90"/>
    </row>
    <row r="104" spans="1:7">
      <c r="A104" s="78"/>
      <c r="B104" s="299"/>
      <c r="C104" s="78"/>
      <c r="D104" s="83"/>
      <c r="E104" s="84"/>
      <c r="F104" s="81"/>
      <c r="G104" s="90"/>
    </row>
    <row r="105" spans="1:7">
      <c r="A105" s="78"/>
      <c r="B105" s="299"/>
      <c r="C105" s="78"/>
      <c r="D105" s="83"/>
      <c r="E105" s="84"/>
      <c r="F105" s="81"/>
      <c r="G105" s="90"/>
    </row>
    <row r="106" spans="1:7">
      <c r="A106" s="78"/>
      <c r="B106" s="299"/>
      <c r="C106" s="78"/>
      <c r="D106" s="83"/>
      <c r="E106" s="84"/>
      <c r="F106" s="81"/>
      <c r="G106" s="90"/>
    </row>
    <row r="107" spans="1:7">
      <c r="A107" s="78"/>
      <c r="B107" s="299"/>
      <c r="C107" s="78"/>
      <c r="D107" s="83"/>
      <c r="E107" s="84"/>
      <c r="F107" s="81"/>
      <c r="G107" s="90"/>
    </row>
    <row r="108" spans="1:7">
      <c r="A108" s="78"/>
      <c r="B108" s="299"/>
      <c r="C108" s="78"/>
      <c r="D108" s="83"/>
      <c r="E108" s="84"/>
      <c r="F108" s="81"/>
      <c r="G108" s="90"/>
    </row>
    <row r="109" spans="1:7">
      <c r="A109" s="78"/>
      <c r="B109" s="81"/>
      <c r="C109" s="78"/>
      <c r="D109" s="81"/>
      <c r="E109" s="84"/>
      <c r="F109" s="81"/>
      <c r="G109" s="90"/>
    </row>
  </sheetData>
  <mergeCells count="5">
    <mergeCell ref="A1:B1"/>
    <mergeCell ref="C1:D1"/>
    <mergeCell ref="E1:E2"/>
    <mergeCell ref="F1:F2"/>
    <mergeCell ref="G1:G2"/>
  </mergeCells>
  <phoneticPr fontId="19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0651CE313A19248B7F957C0756448E1" ma:contentTypeVersion="18" ma:contentTypeDescription="新しいドキュメントを作成します。" ma:contentTypeScope="" ma:versionID="f8749716566483b13969ec4ec0244633">
  <xsd:schema xmlns:xsd="http://www.w3.org/2001/XMLSchema" xmlns:xs="http://www.w3.org/2001/XMLSchema" xmlns:p="http://schemas.microsoft.com/office/2006/metadata/properties" xmlns:ns2="27a9b9cc-78db-49f1-be81-3a528eeb2263" xmlns:ns3="5aed895e-7d33-4881-bbe6-295b2f6f28e8" targetNamespace="http://schemas.microsoft.com/office/2006/metadata/properties" ma:root="true" ma:fieldsID="da8be0a62c1aeb4f8851eed876b83284" ns2:_="" ns3:_="">
    <xsd:import namespace="27a9b9cc-78db-49f1-be81-3a528eeb2263"/>
    <xsd:import namespace="5aed895e-7d33-4881-bbe6-295b2f6f28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9b9cc-78db-49f1-be81-3a528eeb22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a789d6b-bc24-4e35-93cc-6799487c56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895e-7d33-4881-bbe6-295b2f6f28e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4db4a1b-6518-4d3e-9685-f6ff81d1a54f}" ma:internalName="TaxCatchAll" ma:showField="CatchAllData" ma:web="5aed895e-7d33-4881-bbe6-295b2f6f28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a9b9cc-78db-49f1-be81-3a528eeb2263">
      <Terms xmlns="http://schemas.microsoft.com/office/infopath/2007/PartnerControls"/>
    </lcf76f155ced4ddcb4097134ff3c332f>
    <TaxCatchAll xmlns="5aed895e-7d33-4881-bbe6-295b2f6f28e8" xsi:nil="true"/>
  </documentManagement>
</p:properties>
</file>

<file path=customXml/itemProps1.xml><?xml version="1.0" encoding="utf-8"?>
<ds:datastoreItem xmlns:ds="http://schemas.openxmlformats.org/officeDocument/2006/customXml" ds:itemID="{AB6297B5-4B97-4D15-88A2-E9459B1D7A00}"/>
</file>

<file path=customXml/itemProps2.xml><?xml version="1.0" encoding="utf-8"?>
<ds:datastoreItem xmlns:ds="http://schemas.openxmlformats.org/officeDocument/2006/customXml" ds:itemID="{4D88CB92-3422-48D4-BB81-56E4BC399AF4}"/>
</file>

<file path=customXml/itemProps3.xml><?xml version="1.0" encoding="utf-8"?>
<ds:datastoreItem xmlns:ds="http://schemas.openxmlformats.org/officeDocument/2006/customXml" ds:itemID="{4C2F4C02-8BD1-47E3-95CF-282B49962F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大阪府立工業高等専門学校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教務主事室</dc:creator>
  <cp:keywords/>
  <dc:description/>
  <cp:lastModifiedBy>平林　大介</cp:lastModifiedBy>
  <cp:revision/>
  <dcterms:created xsi:type="dcterms:W3CDTF">2008-10-02T04:48:59Z</dcterms:created>
  <dcterms:modified xsi:type="dcterms:W3CDTF">2026-02-11T06:22:33Z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0x01010060651CE313A19248B7F957C0756448E1</vt:lpwstr>
  </property>
  <property fmtid="{D5CDD505-2E9C-101B-9397-08002B2CF9AE}" pid="3" name="MediaServiceImageTags">
    <vt:lpwstr/>
  </property>
</Properties>
</file>