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omments2.xml" ContentType="application/vnd.openxmlformats-officedocument.spreadsheetml.comments+xml"/>
  <Override PartName="/xl/drawings/drawing2.xml" ContentType="application/vnd.openxmlformats-officedocument.drawing+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drawings/drawing3.xml" ContentType="application/vnd.openxmlformats-officedocument.drawing+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omments3.xml" ContentType="application/vnd.openxmlformats-officedocument.spreadsheetml.comments+xml"/>
  <Override PartName="/xl/drawings/drawing4.xml" ContentType="application/vnd.openxmlformats-officedocument.drawing+xml"/>
  <Override PartName="/xl/ctrlProps/ctrlProp28.xml" ContentType="application/vnd.ms-excel.controlproperties+xml"/>
  <Override PartName="/xl/ctrlProps/ctrlProp29.xml" ContentType="application/vnd.ms-excel.controlproperties+xml"/>
  <Override PartName="/xl/comments4.xml" ContentType="application/vnd.openxmlformats-officedocument.spreadsheetml.comments+xml"/>
  <Override PartName="/xl/drawings/drawing5.xml" ContentType="application/vnd.openxmlformats-officedocument.drawing+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ac-ad.osaka-kouritsu.jp\filesv\share\staff\901_事務部\総務課\07_旅費\旅行命令上申書等（国内（近距離）・国外）\"/>
    </mc:Choice>
  </mc:AlternateContent>
  <bookViews>
    <workbookView xWindow="0" yWindow="0" windowWidth="23232" windowHeight="9384"/>
  </bookViews>
  <sheets>
    <sheet name="旅行命令上申書（近距離・国内旅行" sheetId="29" r:id="rId1"/>
    <sheet name="旅行報告書兼精算依頼書（国内旅行" sheetId="31" r:id="rId2"/>
    <sheet name="記入例（国内旅行" sheetId="35" r:id="rId3"/>
    <sheet name="記入例旅行報告書兼精算依頼書（国内旅行" sheetId="36" r:id="rId4"/>
    <sheet name="旅行命令上申書（国外旅行" sheetId="37" r:id="rId5"/>
    <sheet name="旅行報告書兼精算依頼書 （国外旅行" sheetId="38" r:id="rId6"/>
    <sheet name="記入例 （国外旅行" sheetId="39" r:id="rId7"/>
  </sheets>
  <externalReferences>
    <externalReference r:id="rId8"/>
  </externalReferenc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X24" i="31" l="1"/>
  <c r="AX26" i="31"/>
  <c r="AX28" i="31"/>
  <c r="AX30" i="31"/>
  <c r="AX22" i="31"/>
  <c r="BE6" i="31"/>
  <c r="G46" i="39" l="1"/>
  <c r="G45" i="39"/>
  <c r="G44" i="39"/>
  <c r="G43" i="39"/>
  <c r="G55" i="38"/>
  <c r="G51" i="38"/>
  <c r="W50" i="38"/>
  <c r="O50" i="38"/>
  <c r="G50" i="38"/>
  <c r="W49" i="38"/>
  <c r="O49" i="38"/>
  <c r="G49" i="38"/>
  <c r="O48" i="38"/>
  <c r="G48" i="38"/>
  <c r="O47" i="38"/>
  <c r="O46" i="38"/>
  <c r="O45" i="38"/>
  <c r="O44" i="38"/>
  <c r="O43" i="38"/>
  <c r="O42" i="38"/>
  <c r="G46" i="38" s="1"/>
  <c r="AV36" i="38"/>
  <c r="AN36" i="38"/>
  <c r="AF36" i="38"/>
  <c r="X36" i="38"/>
  <c r="P36" i="38"/>
  <c r="H36" i="38"/>
  <c r="BC35" i="38"/>
  <c r="AV35" i="38"/>
  <c r="AN35" i="38"/>
  <c r="AF35" i="38"/>
  <c r="X35" i="38"/>
  <c r="P35" i="38"/>
  <c r="H35" i="38"/>
  <c r="BA33" i="38"/>
  <c r="AN33" i="38"/>
  <c r="T33" i="38"/>
  <c r="G33" i="38"/>
  <c r="BA32" i="38"/>
  <c r="AW32" i="38"/>
  <c r="AN32" i="38"/>
  <c r="AI32" i="38"/>
  <c r="T32" i="38"/>
  <c r="P32" i="38"/>
  <c r="G32" i="38"/>
  <c r="B32" i="38"/>
  <c r="BA31" i="38"/>
  <c r="AN31" i="38"/>
  <c r="T31" i="38"/>
  <c r="G31" i="38"/>
  <c r="BA30" i="38"/>
  <c r="AW30" i="38"/>
  <c r="AS30" i="38"/>
  <c r="AN30" i="38"/>
  <c r="AI30" i="38"/>
  <c r="T30" i="38"/>
  <c r="P30" i="38"/>
  <c r="L30" i="38"/>
  <c r="G30" i="38"/>
  <c r="B30" i="38"/>
  <c r="BA29" i="38"/>
  <c r="AN29" i="38"/>
  <c r="T29" i="38"/>
  <c r="G29" i="38"/>
  <c r="BA28" i="38"/>
  <c r="AW28" i="38"/>
  <c r="AN28" i="38"/>
  <c r="AI28" i="38"/>
  <c r="T28" i="38"/>
  <c r="P28" i="38"/>
  <c r="G28" i="38"/>
  <c r="B28" i="38"/>
  <c r="BA27" i="38"/>
  <c r="AN27" i="38"/>
  <c r="T27" i="38"/>
  <c r="G27" i="38"/>
  <c r="BA26" i="38"/>
  <c r="AW26" i="38"/>
  <c r="AS26" i="38"/>
  <c r="AN26" i="38"/>
  <c r="AI26" i="38"/>
  <c r="T26" i="38"/>
  <c r="P26" i="38"/>
  <c r="L26" i="38"/>
  <c r="G26" i="38"/>
  <c r="B26" i="38"/>
  <c r="BA25" i="38"/>
  <c r="AN25" i="38"/>
  <c r="T25" i="38"/>
  <c r="G25" i="38"/>
  <c r="BA24" i="38"/>
  <c r="AW24" i="38"/>
  <c r="AN24" i="38"/>
  <c r="AI24" i="38"/>
  <c r="T24" i="38"/>
  <c r="P24" i="38"/>
  <c r="G24" i="38"/>
  <c r="B24" i="38"/>
  <c r="BA23" i="38"/>
  <c r="AN23" i="38"/>
  <c r="T23" i="38"/>
  <c r="G23" i="38"/>
  <c r="BA22" i="38"/>
  <c r="AW22" i="38"/>
  <c r="AS22" i="38"/>
  <c r="AN22" i="38"/>
  <c r="AI22" i="38"/>
  <c r="T22" i="38"/>
  <c r="P22" i="38"/>
  <c r="L22" i="38"/>
  <c r="G22" i="38"/>
  <c r="B22" i="38"/>
  <c r="V18" i="38"/>
  <c r="V17" i="38"/>
  <c r="G17" i="38"/>
  <c r="V16" i="38"/>
  <c r="V15" i="38"/>
  <c r="G15" i="38"/>
  <c r="AC13" i="38"/>
  <c r="R13" i="38"/>
  <c r="G13" i="38"/>
  <c r="N9" i="38"/>
  <c r="AN8" i="38"/>
  <c r="G8" i="38"/>
  <c r="G46" i="37"/>
  <c r="G45" i="37"/>
  <c r="G44" i="37"/>
  <c r="G43" i="37"/>
  <c r="G43" i="38" l="1"/>
  <c r="G45" i="38"/>
  <c r="G44" i="38"/>
  <c r="G44" i="36"/>
  <c r="G43" i="36"/>
  <c r="G42" i="36"/>
  <c r="G41" i="36"/>
  <c r="G44" i="35" l="1"/>
  <c r="G43" i="35"/>
  <c r="G42" i="35"/>
  <c r="G41" i="35"/>
  <c r="G44" i="29" l="1"/>
  <c r="G43" i="29"/>
  <c r="G42" i="29"/>
  <c r="G41" i="29"/>
  <c r="BC33" i="31" l="1"/>
  <c r="G46" i="31"/>
  <c r="W48" i="31"/>
  <c r="W47" i="31"/>
  <c r="O48" i="31"/>
  <c r="O47" i="31"/>
  <c r="O46" i="31"/>
  <c r="G48" i="31"/>
  <c r="G47" i="31"/>
  <c r="G49" i="31"/>
  <c r="O40" i="31"/>
  <c r="G44" i="31" l="1"/>
  <c r="G43" i="31"/>
  <c r="G42" i="31"/>
  <c r="G41" i="31"/>
  <c r="G53" i="31"/>
  <c r="O43" i="31"/>
  <c r="O45" i="31"/>
  <c r="O44" i="31"/>
  <c r="O42" i="31"/>
  <c r="O41" i="31"/>
  <c r="T30" i="31"/>
  <c r="AV34" i="31"/>
  <c r="AV33" i="31"/>
  <c r="X34" i="31"/>
  <c r="X33" i="31"/>
  <c r="P33" i="31"/>
  <c r="AN34" i="31"/>
  <c r="AF34" i="31"/>
  <c r="AN33" i="31"/>
  <c r="AF33" i="31"/>
  <c r="P34" i="31"/>
  <c r="H34" i="31"/>
  <c r="H33" i="31"/>
  <c r="T22" i="31"/>
  <c r="AL22" i="31"/>
  <c r="AU31" i="31"/>
  <c r="AQ31" i="31"/>
  <c r="AL30" i="31"/>
  <c r="AU29" i="31"/>
  <c r="AQ29" i="31"/>
  <c r="AL28" i="31"/>
  <c r="AU27" i="31"/>
  <c r="AQ27" i="31"/>
  <c r="AL26" i="31"/>
  <c r="AU25" i="31"/>
  <c r="AQ25" i="31"/>
  <c r="AL24" i="31"/>
  <c r="AU23" i="31"/>
  <c r="AQ23" i="31"/>
  <c r="AE22" i="31"/>
  <c r="AE31" i="31"/>
  <c r="AE30" i="31"/>
  <c r="AE29" i="31"/>
  <c r="AE28" i="31"/>
  <c r="AE27" i="31"/>
  <c r="AE26" i="31"/>
  <c r="AE25" i="31"/>
  <c r="AE24" i="31"/>
  <c r="AE23" i="31"/>
  <c r="T24" i="31"/>
  <c r="T26" i="31"/>
  <c r="T28" i="31"/>
  <c r="G22" i="31"/>
  <c r="G30" i="31"/>
  <c r="G28" i="31"/>
  <c r="G26" i="31"/>
  <c r="G24" i="31"/>
  <c r="B22" i="31"/>
  <c r="B24" i="31"/>
  <c r="B26" i="31"/>
  <c r="B28" i="31"/>
  <c r="B30" i="31"/>
  <c r="G17" i="31"/>
  <c r="V18" i="31"/>
  <c r="V17" i="31"/>
  <c r="V16" i="31"/>
  <c r="V15" i="31"/>
  <c r="G15" i="31"/>
  <c r="G13" i="31"/>
  <c r="AC13" i="31"/>
  <c r="R13" i="31"/>
  <c r="G8" i="31"/>
  <c r="AN8" i="31"/>
  <c r="N9" i="31"/>
</calcChain>
</file>

<file path=xl/comments1.xml><?xml version="1.0" encoding="utf-8"?>
<comments xmlns="http://schemas.openxmlformats.org/spreadsheetml/2006/main">
  <authors>
    <author>湯谷　明菜</author>
  </authors>
  <commentList>
    <comment ref="U1" authorId="0" shapeId="0">
      <text>
        <r>
          <rPr>
            <b/>
            <sz val="12"/>
            <color indexed="81"/>
            <rFont val="MS P ゴシック"/>
            <family val="3"/>
            <charset val="128"/>
          </rPr>
          <t xml:space="preserve">
【旅行前】
近距離出張の場合（近距離：大阪・京都・兵庫・奈良・滋賀・三重）
・旅行命令上申書に必要事項を記入ください。（別タブ記入例を参考ください。）
・下記旅費提出アドレスまで提出ください。
国内・国外出張の場合
・旅行命令上申書に必要事項を記入ください。（別タブ記入例を参考ください。）
・旅行事実確認書類（PDF等）
・航空機利用についてはフライトスケジュール・領収書等を（PDF等）添付ください。
・下記旅費提出アドレスまで提出ください。
【旅行後】
報告書について（近距離出張で宿泊を伴う場合、国内・国外出張の場合提出必要）
・旅行報告書兼精算依頼書（別タブ）を記入ください。（上申書記入内容が自動反映）
・下記旅費提出アドレスまで提出ください。
旅費計算について
・内容確認後に近距離・国内・国外旅費支給額計算書を送信します。
　金額を確認ください。
提出先について
旅費提出先アドレス（gr-ct-somu-ryohishinsei@omu.ac.jp）
</t>
        </r>
      </text>
    </comment>
    <comment ref="BN33" authorId="0" shapeId="0">
      <text>
        <r>
          <rPr>
            <b/>
            <sz val="14"/>
            <color indexed="10"/>
            <rFont val="MS P ゴシック"/>
            <family val="3"/>
            <charset val="128"/>
          </rPr>
          <t>定期区間について記入ください。</t>
        </r>
        <r>
          <rPr>
            <b/>
            <sz val="14"/>
            <color indexed="81"/>
            <rFont val="MS P ゴシック"/>
            <family val="3"/>
            <charset val="128"/>
          </rPr>
          <t xml:space="preserve">
</t>
        </r>
      </text>
    </comment>
    <comment ref="O40" authorId="0" shapeId="0">
      <text>
        <r>
          <rPr>
            <sz val="9"/>
            <color indexed="81"/>
            <rFont val="MS P ゴシック"/>
            <family val="3"/>
            <charset val="128"/>
          </rPr>
          <t>校費：大学運営費、外部資金：該当経費を選択してください。</t>
        </r>
      </text>
    </comment>
    <comment ref="O41" authorId="0" shapeId="0">
      <text>
        <r>
          <rPr>
            <sz val="9"/>
            <color indexed="81"/>
            <rFont val="MS P ゴシック"/>
            <family val="3"/>
            <charset val="128"/>
          </rPr>
          <t>学生主事室予算・個人研究費等を記入ください。</t>
        </r>
      </text>
    </comment>
    <comment ref="AG46" authorId="0" shapeId="0">
      <text>
        <r>
          <rPr>
            <b/>
            <sz val="9"/>
            <color indexed="81"/>
            <rFont val="MS P ゴシック"/>
            <family val="3"/>
            <charset val="128"/>
          </rPr>
          <t>法人カード利用の有無について入力ください。</t>
        </r>
      </text>
    </comment>
  </commentList>
</comments>
</file>

<file path=xl/comments2.xml><?xml version="1.0" encoding="utf-8"?>
<comments xmlns="http://schemas.openxmlformats.org/spreadsheetml/2006/main">
  <authors>
    <author>湯谷　明菜</author>
  </authors>
  <commentList>
    <comment ref="BE6" authorId="0" shapeId="0">
      <text>
        <r>
          <rPr>
            <b/>
            <sz val="10"/>
            <color indexed="81"/>
            <rFont val="MS P ゴシック"/>
            <family val="3"/>
            <charset val="128"/>
          </rPr>
          <t>報告日を記入下さい。</t>
        </r>
        <r>
          <rPr>
            <b/>
            <sz val="9"/>
            <color indexed="81"/>
            <rFont val="MS P ゴシック"/>
            <family val="3"/>
            <charset val="128"/>
          </rPr>
          <t xml:space="preserve">
</t>
        </r>
      </text>
    </comment>
    <comment ref="BN13" authorId="0" shapeId="0">
      <text>
        <r>
          <rPr>
            <b/>
            <sz val="12"/>
            <color indexed="81"/>
            <rFont val="MS P ゴシック"/>
            <family val="3"/>
            <charset val="128"/>
          </rPr>
          <t>変更あり・なしをチェックし、変更がある場合は変更内容を記載ください。</t>
        </r>
      </text>
    </comment>
    <comment ref="G23" authorId="0" shapeId="0">
      <text>
        <r>
          <rPr>
            <b/>
            <sz val="10"/>
            <color indexed="81"/>
            <rFont val="MS P ゴシック"/>
            <family val="3"/>
            <charset val="128"/>
          </rPr>
          <t xml:space="preserve">応接者等を記入下さい。
</t>
        </r>
        <r>
          <rPr>
            <sz val="9"/>
            <color indexed="81"/>
            <rFont val="MS P ゴシック"/>
            <family val="3"/>
            <charset val="128"/>
          </rPr>
          <t xml:space="preserve">
</t>
        </r>
      </text>
    </comment>
  </commentList>
</comments>
</file>

<file path=xl/comments3.xml><?xml version="1.0" encoding="utf-8"?>
<comments xmlns="http://schemas.openxmlformats.org/spreadsheetml/2006/main">
  <authors>
    <author>Administrator</author>
  </authors>
  <commentList>
    <comment ref="AN13" authorId="0" shapeId="0">
      <text>
        <r>
          <rPr>
            <b/>
            <sz val="9"/>
            <color indexed="81"/>
            <rFont val="MS P ゴシック"/>
            <family val="3"/>
            <charset val="128"/>
          </rPr>
          <t>旅行の目的及び現在の業務との関連性や効果等を記載してください。</t>
        </r>
      </text>
    </comment>
  </commentList>
</comments>
</file>

<file path=xl/comments4.xml><?xml version="1.0" encoding="utf-8"?>
<comments xmlns="http://schemas.openxmlformats.org/spreadsheetml/2006/main">
  <authors>
    <author>Administrator</author>
  </authors>
  <commentList>
    <comment ref="AN15" authorId="0" shapeId="0">
      <text>
        <r>
          <rPr>
            <b/>
            <sz val="9"/>
            <color indexed="81"/>
            <rFont val="MS P ゴシック"/>
            <family val="3"/>
            <charset val="128"/>
          </rPr>
          <t>旅行の目的及び成果等を記載してください。</t>
        </r>
      </text>
    </comment>
  </commentList>
</comments>
</file>

<file path=xl/comments5.xml><?xml version="1.0" encoding="utf-8"?>
<comments xmlns="http://schemas.openxmlformats.org/spreadsheetml/2006/main">
  <authors>
    <author>Administrator</author>
  </authors>
  <commentList>
    <comment ref="AN15" authorId="0" shapeId="0">
      <text>
        <r>
          <rPr>
            <b/>
            <sz val="9"/>
            <color indexed="81"/>
            <rFont val="MS P ゴシック"/>
            <family val="3"/>
            <charset val="128"/>
          </rPr>
          <t>旅行の目的及び成果等を記載してください。</t>
        </r>
        <r>
          <rPr>
            <sz val="9"/>
            <color indexed="81"/>
            <rFont val="MS P ゴシック"/>
            <family val="3"/>
            <charset val="128"/>
          </rPr>
          <t xml:space="preserve">
</t>
        </r>
      </text>
    </comment>
  </commentList>
</comments>
</file>

<file path=xl/sharedStrings.xml><?xml version="1.0" encoding="utf-8"?>
<sst xmlns="http://schemas.openxmlformats.org/spreadsheetml/2006/main" count="896" uniqueCount="181">
  <si>
    <t>旅行期間</t>
    <rPh sb="0" eb="2">
      <t>リョコウ</t>
    </rPh>
    <rPh sb="2" eb="4">
      <t>キカン</t>
    </rPh>
    <phoneticPr fontId="5"/>
  </si>
  <si>
    <t>まで</t>
    <phoneticPr fontId="5"/>
  </si>
  <si>
    <t>から</t>
    <phoneticPr fontId="5"/>
  </si>
  <si>
    <t>旅行者氏名</t>
    <rPh sb="3" eb="5">
      <t>シメイ</t>
    </rPh>
    <phoneticPr fontId="5"/>
  </si>
  <si>
    <t>係員</t>
    <rPh sb="0" eb="2">
      <t>カカリイン</t>
    </rPh>
    <phoneticPr fontId="5"/>
  </si>
  <si>
    <t>係長</t>
    <rPh sb="0" eb="2">
      <t>カカリチョウ</t>
    </rPh>
    <phoneticPr fontId="5"/>
  </si>
  <si>
    <t>課長</t>
    <rPh sb="0" eb="2">
      <t>カチョウ</t>
    </rPh>
    <phoneticPr fontId="5"/>
  </si>
  <si>
    <t>宿泊料</t>
    <rPh sb="0" eb="3">
      <t>シュクハクリョウ</t>
    </rPh>
    <phoneticPr fontId="5"/>
  </si>
  <si>
    <t>日間</t>
    <phoneticPr fontId="5"/>
  </si>
  <si>
    <t>旅行命令権者</t>
    <rPh sb="0" eb="2">
      <t>リョコウ</t>
    </rPh>
    <rPh sb="2" eb="4">
      <t>メイレイ</t>
    </rPh>
    <rPh sb="4" eb="5">
      <t>ケン</t>
    </rPh>
    <rPh sb="5" eb="6">
      <t>シャ</t>
    </rPh>
    <phoneticPr fontId="5"/>
  </si>
  <si>
    <t>課長代理</t>
    <rPh sb="0" eb="2">
      <t>カチョウ</t>
    </rPh>
    <rPh sb="2" eb="4">
      <t>ダイリ</t>
    </rPh>
    <phoneticPr fontId="5"/>
  </si>
  <si>
    <t>定期券なし</t>
    <rPh sb="0" eb="3">
      <t>テイキケン</t>
    </rPh>
    <phoneticPr fontId="3"/>
  </si>
  <si>
    <t>)</t>
    <phoneticPr fontId="3"/>
  </si>
  <si>
    <t>(</t>
    <phoneticPr fontId="3"/>
  </si>
  <si>
    <t>～</t>
    <phoneticPr fontId="3"/>
  </si>
  <si>
    <t>④</t>
    <phoneticPr fontId="3"/>
  </si>
  <si>
    <t>③</t>
    <phoneticPr fontId="3"/>
  </si>
  <si>
    <t>②</t>
    <phoneticPr fontId="3"/>
  </si>
  <si>
    <t>①</t>
    <phoneticPr fontId="3"/>
  </si>
  <si>
    <t>利用なし</t>
    <rPh sb="0" eb="2">
      <t>リヨウ</t>
    </rPh>
    <phoneticPr fontId="5"/>
  </si>
  <si>
    <t>利用あり</t>
    <rPh sb="0" eb="2">
      <t>リヨウ</t>
    </rPh>
    <phoneticPr fontId="5"/>
  </si>
  <si>
    <t>法人カード</t>
    <rPh sb="0" eb="2">
      <t>ホウジン</t>
    </rPh>
    <phoneticPr fontId="11"/>
  </si>
  <si>
    <t>備考</t>
    <rPh sb="0" eb="2">
      <t>ビコウ</t>
    </rPh>
    <phoneticPr fontId="11"/>
  </si>
  <si>
    <t>(選択してください)</t>
  </si>
  <si>
    <t>財源名称</t>
    <rPh sb="0" eb="1">
      <t>ザイ</t>
    </rPh>
    <rPh sb="1" eb="2">
      <t>ミナモト</t>
    </rPh>
    <rPh sb="2" eb="3">
      <t>ナ</t>
    </rPh>
    <rPh sb="3" eb="4">
      <t>ショウ</t>
    </rPh>
    <phoneticPr fontId="5"/>
  </si>
  <si>
    <t>財　　源</t>
    <rPh sb="0" eb="1">
      <t>ザイ</t>
    </rPh>
    <rPh sb="3" eb="4">
      <t>ミナモト</t>
    </rPh>
    <phoneticPr fontId="11"/>
  </si>
  <si>
    <t>（役　職）</t>
    <rPh sb="1" eb="2">
      <t>ヤク</t>
    </rPh>
    <rPh sb="3" eb="4">
      <t>ショク</t>
    </rPh>
    <phoneticPr fontId="11"/>
  </si>
  <si>
    <t>所　　属</t>
    <rPh sb="0" eb="1">
      <t>ショ</t>
    </rPh>
    <rPh sb="3" eb="4">
      <t>ゾク</t>
    </rPh>
    <phoneticPr fontId="5"/>
  </si>
  <si>
    <t>利用予定なし</t>
    <rPh sb="0" eb="2">
      <t>リヨウ</t>
    </rPh>
    <rPh sb="2" eb="4">
      <t>ヨテイ</t>
    </rPh>
    <phoneticPr fontId="5"/>
  </si>
  <si>
    <t>利用予定あり</t>
    <rPh sb="0" eb="2">
      <t>リヨウ</t>
    </rPh>
    <rPh sb="2" eb="4">
      <t>ヨテイ</t>
    </rPh>
    <phoneticPr fontId="5"/>
  </si>
  <si>
    <t>）</t>
    <phoneticPr fontId="11"/>
  </si>
  <si>
    <t>（</t>
    <phoneticPr fontId="11"/>
  </si>
  <si>
    <t>その他(　　　　　　)</t>
    <rPh sb="2" eb="3">
      <t>タ</t>
    </rPh>
    <phoneticPr fontId="5"/>
  </si>
  <si>
    <t>参加費</t>
    <rPh sb="0" eb="3">
      <t>サンカヒ</t>
    </rPh>
    <phoneticPr fontId="5"/>
  </si>
  <si>
    <t>その他交通費(　　　)</t>
    <rPh sb="2" eb="3">
      <t>タ</t>
    </rPh>
    <rPh sb="3" eb="6">
      <t>コウツウヒ</t>
    </rPh>
    <phoneticPr fontId="5"/>
  </si>
  <si>
    <t>鉄道料金</t>
    <rPh sb="0" eb="2">
      <t>テツドウ</t>
    </rPh>
    <rPh sb="2" eb="4">
      <t>リョウキン</t>
    </rPh>
    <phoneticPr fontId="5"/>
  </si>
  <si>
    <t>航空機料金</t>
    <rPh sb="0" eb="3">
      <t>コウクウキ</t>
    </rPh>
    <rPh sb="3" eb="5">
      <t>リョウキン</t>
    </rPh>
    <phoneticPr fontId="5"/>
  </si>
  <si>
    <t>公立大学法人大阪 理事長　様</t>
    <phoneticPr fontId="11"/>
  </si>
  <si>
    <t>確認欄</t>
    <rPh sb="0" eb="2">
      <t>カクニン</t>
    </rPh>
    <rPh sb="2" eb="3">
      <t>ラン</t>
    </rPh>
    <phoneticPr fontId="11"/>
  </si>
  <si>
    <t>～</t>
    <phoneticPr fontId="11"/>
  </si>
  <si>
    <t>線</t>
    <rPh sb="0" eb="1">
      <t>セン</t>
    </rPh>
    <phoneticPr fontId="11"/>
  </si>
  <si>
    <t>次のとおり旅行命令されるよう上申します。</t>
    <rPh sb="0" eb="1">
      <t>ツギ</t>
    </rPh>
    <rPh sb="5" eb="7">
      <t>リョコウ</t>
    </rPh>
    <rPh sb="7" eb="9">
      <t>メイレイ</t>
    </rPh>
    <rPh sb="14" eb="16">
      <t>ジョウシン</t>
    </rPh>
    <phoneticPr fontId="11"/>
  </si>
  <si>
    <t>　「休日振替申請書」 又は 「超過勤務（休日）命令／夜間勤務申請簿」を必ず提出してください。ただし、休日における終日移動の場合は不要です。</t>
    <phoneticPr fontId="11"/>
  </si>
  <si>
    <t>※1 最寄駅及び定期区間は「鉄道会社／駅名」又は「バス会社／バス停名」を記入してください。</t>
    <phoneticPr fontId="11"/>
  </si>
  <si>
    <t>参　加　費</t>
    <rPh sb="0" eb="1">
      <t>サン</t>
    </rPh>
    <rPh sb="2" eb="3">
      <t>カ</t>
    </rPh>
    <rPh sb="4" eb="5">
      <t>ヒ</t>
    </rPh>
    <phoneticPr fontId="11"/>
  </si>
  <si>
    <t>国内旅行</t>
    <rPh sb="0" eb="2">
      <t>コクナイ</t>
    </rPh>
    <rPh sb="2" eb="4">
      <t>リョコウ</t>
    </rPh>
    <phoneticPr fontId="11"/>
  </si>
  <si>
    <t>※①が自宅側となるように記入</t>
    <phoneticPr fontId="3"/>
  </si>
  <si>
    <t>駅</t>
    <rPh sb="0" eb="1">
      <t>エキ</t>
    </rPh>
    <phoneticPr fontId="11"/>
  </si>
  <si>
    <t>用務内容詳細</t>
    <rPh sb="0" eb="2">
      <t>ヨウム</t>
    </rPh>
    <rPh sb="2" eb="4">
      <t>ナイヨウ</t>
    </rPh>
    <rPh sb="4" eb="6">
      <t>ショウサイ</t>
    </rPh>
    <phoneticPr fontId="11"/>
  </si>
  <si>
    <t>用務先住所</t>
    <rPh sb="0" eb="2">
      <t>ヨウム</t>
    </rPh>
    <rPh sb="2" eb="3">
      <t>サキ</t>
    </rPh>
    <rPh sb="3" eb="5">
      <t>ジュウショ</t>
    </rPh>
    <phoneticPr fontId="11"/>
  </si>
  <si>
    <t>用務先名称</t>
    <rPh sb="0" eb="2">
      <t>ヨウム</t>
    </rPh>
    <rPh sb="2" eb="3">
      <t>サキ</t>
    </rPh>
    <rPh sb="3" eb="5">
      <t>メイショウ</t>
    </rPh>
    <phoneticPr fontId="11"/>
  </si>
  <si>
    <t>帰 着 地</t>
    <rPh sb="0" eb="1">
      <t>キ</t>
    </rPh>
    <rPh sb="2" eb="3">
      <t>キ</t>
    </rPh>
    <rPh sb="4" eb="5">
      <t>チ</t>
    </rPh>
    <phoneticPr fontId="3"/>
  </si>
  <si>
    <t>出 発 地</t>
    <rPh sb="0" eb="1">
      <t>デ</t>
    </rPh>
    <rPh sb="2" eb="3">
      <t>ハツ</t>
    </rPh>
    <rPh sb="4" eb="5">
      <t>チ</t>
    </rPh>
    <phoneticPr fontId="3"/>
  </si>
  <si>
    <r>
      <t>年月日</t>
    </r>
    <r>
      <rPr>
        <vertAlign val="superscript"/>
        <sz val="10.5"/>
        <rFont val="ＭＳ 明朝"/>
        <family val="1"/>
        <charset val="128"/>
      </rPr>
      <t>※2</t>
    </r>
    <rPh sb="0" eb="3">
      <t>ネンガッピ</t>
    </rPh>
    <phoneticPr fontId="11"/>
  </si>
  <si>
    <t>※2 旅行期間中の休日に業務を行う場合は、休日振替又は超過勤務の手続きが必要です。</t>
    <phoneticPr fontId="11"/>
  </si>
  <si>
    <t>　　年　　月　　日</t>
    <rPh sb="2" eb="3">
      <t>ネン</t>
    </rPh>
    <rPh sb="5" eb="6">
      <t>ガツ</t>
    </rPh>
    <rPh sb="8" eb="9">
      <t>ニチ</t>
    </rPh>
    <phoneticPr fontId="11"/>
  </si>
  <si>
    <r>
      <t>備　　考</t>
    </r>
    <r>
      <rPr>
        <vertAlign val="superscript"/>
        <sz val="10.5"/>
        <rFont val="ＭＳ 明朝"/>
        <family val="1"/>
        <charset val="128"/>
      </rPr>
      <t>※5</t>
    </r>
    <rPh sb="0" eb="1">
      <t>ソナエ</t>
    </rPh>
    <rPh sb="3" eb="4">
      <t>コウ</t>
    </rPh>
    <phoneticPr fontId="5"/>
  </si>
  <si>
    <t>宿泊先名称</t>
    <rPh sb="0" eb="2">
      <t>シュクハク</t>
    </rPh>
    <rPh sb="2" eb="3">
      <t>サキ</t>
    </rPh>
    <rPh sb="3" eb="5">
      <t>メイショウ</t>
    </rPh>
    <phoneticPr fontId="11"/>
  </si>
  <si>
    <t>：</t>
    <phoneticPr fontId="11"/>
  </si>
  <si>
    <t>◆記入に関する注意事項</t>
    <rPh sb="1" eb="3">
      <t>キニュウ</t>
    </rPh>
    <rPh sb="4" eb="5">
      <t>カン</t>
    </rPh>
    <rPh sb="7" eb="11">
      <t>チュウイジコウ</t>
    </rPh>
    <phoneticPr fontId="3"/>
  </si>
  <si>
    <r>
      <t>最寄駅又は
バス停</t>
    </r>
    <r>
      <rPr>
        <vertAlign val="superscript"/>
        <sz val="10.5"/>
        <rFont val="ＭＳ 明朝"/>
        <family val="1"/>
        <charset val="128"/>
      </rPr>
      <t>※1</t>
    </r>
    <rPh sb="0" eb="3">
      <t>モヨリエキ</t>
    </rPh>
    <rPh sb="3" eb="4">
      <t>マタ</t>
    </rPh>
    <rPh sb="8" eb="9">
      <t>テイ</t>
    </rPh>
    <phoneticPr fontId="3"/>
  </si>
  <si>
    <t>裏面も記入してください。</t>
    <rPh sb="3" eb="5">
      <t>キニュウ</t>
    </rPh>
    <phoneticPr fontId="3"/>
  </si>
  <si>
    <t>2022年4月1日版</t>
    <phoneticPr fontId="11"/>
  </si>
  <si>
    <t>※3 前泊時は用務開始時刻（到着しなければならない時刻）、後泊時は用務終了時刻（現地を発てる時刻）を記入してください。</t>
    <phoneticPr fontId="11"/>
  </si>
  <si>
    <t>※5 都市間を結ぶ高速バス等（空港連絡バス含む）を利用する場合は、備考欄に記入してください。</t>
    <phoneticPr fontId="3"/>
  </si>
  <si>
    <r>
      <t xml:space="preserve">通勤定期区間
</t>
    </r>
    <r>
      <rPr>
        <sz val="8"/>
        <rFont val="ＭＳ 明朝"/>
        <family val="1"/>
        <charset val="128"/>
      </rPr>
      <t>※1</t>
    </r>
    <rPh sb="0" eb="2">
      <t>ツウキン</t>
    </rPh>
    <rPh sb="2" eb="4">
      <t>テイキ</t>
    </rPh>
    <rPh sb="4" eb="6">
      <t>クカン</t>
    </rPh>
    <phoneticPr fontId="11"/>
  </si>
  <si>
    <r>
      <t>最寄駅又は
バス停</t>
    </r>
    <r>
      <rPr>
        <vertAlign val="superscript"/>
        <sz val="10.5"/>
        <rFont val="ＭＳ 明朝"/>
        <family val="1"/>
        <charset val="128"/>
      </rPr>
      <t>※1</t>
    </r>
    <rPh sb="0" eb="2">
      <t>モヨ</t>
    </rPh>
    <rPh sb="2" eb="3">
      <t>エキ</t>
    </rPh>
    <rPh sb="3" eb="4">
      <t>マタ</t>
    </rPh>
    <rPh sb="8" eb="9">
      <t>テイ</t>
    </rPh>
    <phoneticPr fontId="11"/>
  </si>
  <si>
    <r>
      <t>用務時刻</t>
    </r>
    <r>
      <rPr>
        <vertAlign val="superscript"/>
        <sz val="9"/>
        <rFont val="ＭＳ 明朝"/>
        <family val="1"/>
        <charset val="128"/>
      </rPr>
      <t>※3</t>
    </r>
    <rPh sb="0" eb="2">
      <t>ヨウム</t>
    </rPh>
    <rPh sb="2" eb="4">
      <t>ジコク</t>
    </rPh>
    <phoneticPr fontId="11"/>
  </si>
  <si>
    <t>教 職 員</t>
    <rPh sb="0" eb="1">
      <t>キョウ</t>
    </rPh>
    <rPh sb="2" eb="3">
      <t>ショク</t>
    </rPh>
    <rPh sb="4" eb="5">
      <t>イン</t>
    </rPh>
    <phoneticPr fontId="11"/>
  </si>
  <si>
    <t>旅　行　命　令　上　申　書</t>
    <rPh sb="0" eb="1">
      <t>タビ</t>
    </rPh>
    <rPh sb="2" eb="3">
      <t>ギョウ</t>
    </rPh>
    <rPh sb="4" eb="5">
      <t>イノチ</t>
    </rPh>
    <rPh sb="6" eb="7">
      <t>レイ</t>
    </rPh>
    <rPh sb="8" eb="9">
      <t>ウエ</t>
    </rPh>
    <rPh sb="10" eb="11">
      <t>シン</t>
    </rPh>
    <rPh sb="12" eb="13">
      <t>ショ</t>
    </rPh>
    <phoneticPr fontId="5"/>
  </si>
  <si>
    <t>仮 払 申 請</t>
    <rPh sb="0" eb="1">
      <t>カリ</t>
    </rPh>
    <rPh sb="2" eb="3">
      <t>フツ</t>
    </rPh>
    <rPh sb="4" eb="5">
      <t>シン</t>
    </rPh>
    <rPh sb="6" eb="7">
      <t>ショウ</t>
    </rPh>
    <phoneticPr fontId="11"/>
  </si>
  <si>
    <t>※4 仮払いを希望する場合は、原則として、仮払い額（事前算出額）と仮払い精算額（事後の確定額）が同額となるようにしてください。</t>
    <rPh sb="15" eb="17">
      <t>ゲンソク</t>
    </rPh>
    <phoneticPr fontId="11"/>
  </si>
  <si>
    <t>　　都市間を結ぶ高速バス等（空港連絡バス含む）を利用する場合は、備考欄に記入してください。</t>
    <phoneticPr fontId="3"/>
  </si>
  <si>
    <t>※6 打切請求（一部支給）がある場合は、希望する支払総額又は調整額（例「調整額：- 500円」）を備考欄に記入してください。</t>
    <phoneticPr fontId="3"/>
  </si>
  <si>
    <t>※5 仮払いを希望する場合は、原則として、仮払い額（事前算出額）と仮払い精算額（事後の確定額）が同額となるようにしてください。</t>
    <rPh sb="15" eb="17">
      <t>ゲンソク</t>
    </rPh>
    <phoneticPr fontId="11"/>
  </si>
  <si>
    <t>※4 前泊時は用務開始時刻（到着しなければならない時刻）、後泊時は用務終了時刻（現地を発てる時刻）を記入してください。</t>
    <phoneticPr fontId="11"/>
  </si>
  <si>
    <t>※3 旅行期間中の休日に業務を行う場合は、休日振替又は超過勤務の手続きが必要です。</t>
    <phoneticPr fontId="11"/>
  </si>
  <si>
    <r>
      <t>備　　考</t>
    </r>
    <r>
      <rPr>
        <vertAlign val="superscript"/>
        <sz val="10.5"/>
        <rFont val="ＭＳ 明朝"/>
        <family val="1"/>
        <charset val="128"/>
      </rPr>
      <t>※6</t>
    </r>
    <rPh sb="0" eb="1">
      <t>ソナエ</t>
    </rPh>
    <rPh sb="3" eb="4">
      <t>コウ</t>
    </rPh>
    <phoneticPr fontId="5"/>
  </si>
  <si>
    <t>仮払申請額から変更がある（戻入あり）</t>
    <rPh sb="0" eb="2">
      <t>カリバライ</t>
    </rPh>
    <rPh sb="2" eb="4">
      <t>シンセイ</t>
    </rPh>
    <rPh sb="4" eb="5">
      <t>ガク</t>
    </rPh>
    <rPh sb="7" eb="9">
      <t>ヘンコウ</t>
    </rPh>
    <rPh sb="13" eb="15">
      <t>レイニュウ</t>
    </rPh>
    <phoneticPr fontId="5"/>
  </si>
  <si>
    <t>仮払申請額から変更がある（追給あり）</t>
    <rPh sb="0" eb="2">
      <t>カリバライ</t>
    </rPh>
    <rPh sb="2" eb="4">
      <t>シンセイ</t>
    </rPh>
    <rPh sb="4" eb="5">
      <t>ガク</t>
    </rPh>
    <rPh sb="7" eb="9">
      <t>ヘンコウ</t>
    </rPh>
    <phoneticPr fontId="5"/>
  </si>
  <si>
    <r>
      <t xml:space="preserve">仮 払 精 算
</t>
    </r>
    <r>
      <rPr>
        <sz val="8"/>
        <rFont val="ＭＳ 明朝"/>
        <family val="1"/>
        <charset val="128"/>
      </rPr>
      <t>※5</t>
    </r>
    <rPh sb="0" eb="1">
      <t>カリ</t>
    </rPh>
    <rPh sb="2" eb="3">
      <t>フツ</t>
    </rPh>
    <rPh sb="4" eb="5">
      <t>セイ</t>
    </rPh>
    <rPh sb="6" eb="7">
      <t>サン</t>
    </rPh>
    <phoneticPr fontId="11"/>
  </si>
  <si>
    <r>
      <t>用務時刻</t>
    </r>
    <r>
      <rPr>
        <vertAlign val="superscript"/>
        <sz val="9"/>
        <rFont val="ＭＳ 明朝"/>
        <family val="1"/>
        <charset val="128"/>
      </rPr>
      <t>※4</t>
    </r>
    <rPh sb="0" eb="2">
      <t>ヨウム</t>
    </rPh>
    <rPh sb="2" eb="4">
      <t>ジコク</t>
    </rPh>
    <phoneticPr fontId="11"/>
  </si>
  <si>
    <t>応接者等</t>
    <rPh sb="0" eb="2">
      <t>オウセツ</t>
    </rPh>
    <rPh sb="2" eb="3">
      <t>シャ</t>
    </rPh>
    <rPh sb="3" eb="4">
      <t>トウ</t>
    </rPh>
    <phoneticPr fontId="11"/>
  </si>
  <si>
    <t>用務実施内容（報告）</t>
    <rPh sb="0" eb="2">
      <t>ヨウム</t>
    </rPh>
    <rPh sb="2" eb="4">
      <t>ジッシ</t>
    </rPh>
    <rPh sb="4" eb="6">
      <t>ナイヨウ</t>
    </rPh>
    <rPh sb="7" eb="9">
      <t>ホウコク</t>
    </rPh>
    <phoneticPr fontId="11"/>
  </si>
  <si>
    <r>
      <t>年月日</t>
    </r>
    <r>
      <rPr>
        <vertAlign val="superscript"/>
        <sz val="10.5"/>
        <rFont val="ＭＳ 明朝"/>
        <family val="1"/>
        <charset val="128"/>
      </rPr>
      <t>※3</t>
    </r>
    <rPh sb="0" eb="3">
      <t>ネンガッピ</t>
    </rPh>
    <phoneticPr fontId="11"/>
  </si>
  <si>
    <t>変更なし</t>
    <rPh sb="0" eb="2">
      <t>ヘンコウ</t>
    </rPh>
    <phoneticPr fontId="5"/>
  </si>
  <si>
    <t>変更あり</t>
    <rPh sb="0" eb="2">
      <t>ヘンコウ</t>
    </rPh>
    <phoneticPr fontId="5"/>
  </si>
  <si>
    <r>
      <t>上申書からの
変更内容</t>
    </r>
    <r>
      <rPr>
        <vertAlign val="superscript"/>
        <sz val="10.5"/>
        <rFont val="ＭＳ 明朝"/>
        <family val="1"/>
        <charset val="128"/>
      </rPr>
      <t>※2</t>
    </r>
    <rPh sb="0" eb="3">
      <t>ジョウシンショ</t>
    </rPh>
    <rPh sb="7" eb="9">
      <t>ヘンコウ</t>
    </rPh>
    <rPh sb="9" eb="10">
      <t>ナイ</t>
    </rPh>
    <phoneticPr fontId="5"/>
  </si>
  <si>
    <t>次のとおり旅行したことを報告し、旅費の精算を依頼します。</t>
    <rPh sb="0" eb="1">
      <t>ツギ</t>
    </rPh>
    <rPh sb="5" eb="7">
      <t>リョコウ</t>
    </rPh>
    <rPh sb="12" eb="14">
      <t>ホウコク</t>
    </rPh>
    <rPh sb="16" eb="18">
      <t>リョヒ</t>
    </rPh>
    <rPh sb="19" eb="21">
      <t>セイサン</t>
    </rPh>
    <rPh sb="22" eb="24">
      <t>イライ</t>
    </rPh>
    <phoneticPr fontId="11"/>
  </si>
  <si>
    <t>旅 行 報 告 書 兼 精 算 依 頼 書</t>
    <rPh sb="0" eb="1">
      <t>タビ</t>
    </rPh>
    <rPh sb="2" eb="3">
      <t>ギョウ</t>
    </rPh>
    <rPh sb="4" eb="5">
      <t>ホウ</t>
    </rPh>
    <rPh sb="6" eb="7">
      <t>コク</t>
    </rPh>
    <rPh sb="8" eb="9">
      <t>ショ</t>
    </rPh>
    <rPh sb="10" eb="11">
      <t>ケン</t>
    </rPh>
    <rPh sb="12" eb="13">
      <t>セイ</t>
    </rPh>
    <rPh sb="14" eb="15">
      <t>サン</t>
    </rPh>
    <rPh sb="16" eb="17">
      <t>イ</t>
    </rPh>
    <rPh sb="18" eb="19">
      <t>ライ</t>
    </rPh>
    <rPh sb="20" eb="21">
      <t>ショ</t>
    </rPh>
    <phoneticPr fontId="5"/>
  </si>
  <si>
    <t>～</t>
  </si>
  <si>
    <t>(</t>
  </si>
  <si>
    <t>)</t>
  </si>
  <si>
    <t>:</t>
    <phoneticPr fontId="3"/>
  </si>
  <si>
    <t>参加費の精算を希望する</t>
    <phoneticPr fontId="3"/>
  </si>
  <si>
    <t>□</t>
    <phoneticPr fontId="3"/>
  </si>
  <si>
    <r>
      <t>仮払を希望する</t>
    </r>
    <r>
      <rPr>
        <vertAlign val="superscript"/>
        <sz val="10.5"/>
        <rFont val="ＭＳ 明朝"/>
        <family val="1"/>
        <charset val="128"/>
      </rPr>
      <t>※4</t>
    </r>
    <phoneticPr fontId="3"/>
  </si>
  <si>
    <t>□</t>
    <phoneticPr fontId="3"/>
  </si>
  <si>
    <t>※2 旅行命令上申書で申請した内容から旅行期間・金額・財源等の変更があった場合に、詳細を記入してください。</t>
    <rPh sb="3" eb="5">
      <t>リョコウ</t>
    </rPh>
    <rPh sb="5" eb="7">
      <t>メイレイ</t>
    </rPh>
    <rPh sb="7" eb="10">
      <t>ジョウシンショ</t>
    </rPh>
    <rPh sb="11" eb="13">
      <t>シンセイ</t>
    </rPh>
    <rPh sb="15" eb="17">
      <t>ナイヨウ</t>
    </rPh>
    <rPh sb="31" eb="33">
      <t>ヘンコウ</t>
    </rPh>
    <rPh sb="37" eb="39">
      <t>バアイ</t>
    </rPh>
    <rPh sb="41" eb="43">
      <t>ショウサイ</t>
    </rPh>
    <rPh sb="44" eb="46">
      <t>キニュウ</t>
    </rPh>
    <phoneticPr fontId="3"/>
  </si>
  <si>
    <t>旅行命令上申書（記入例）</t>
    <rPh sb="0" eb="1">
      <t>タビ</t>
    </rPh>
    <rPh sb="1" eb="2">
      <t>ギョウ</t>
    </rPh>
    <rPh sb="2" eb="3">
      <t>イノチ</t>
    </rPh>
    <rPh sb="3" eb="4">
      <t>レイ</t>
    </rPh>
    <rPh sb="4" eb="5">
      <t>ウエ</t>
    </rPh>
    <rPh sb="5" eb="6">
      <t>シン</t>
    </rPh>
    <rPh sb="6" eb="7">
      <t>ショ</t>
    </rPh>
    <rPh sb="8" eb="10">
      <t>キニュウ</t>
    </rPh>
    <rPh sb="10" eb="11">
      <t>レイ</t>
    </rPh>
    <phoneticPr fontId="5"/>
  </si>
  <si>
    <t>杉本キャンパス</t>
  </si>
  <si>
    <t>ＪＲ</t>
    <phoneticPr fontId="3"/>
  </si>
  <si>
    <t>杉本町</t>
    <rPh sb="0" eb="3">
      <t>スギモトチョウ</t>
    </rPh>
    <phoneticPr fontId="3"/>
  </si>
  <si>
    <t>自宅</t>
  </si>
  <si>
    <t>大阪メトロ</t>
    <rPh sb="0" eb="2">
      <t>オオサカ</t>
    </rPh>
    <phoneticPr fontId="3"/>
  </si>
  <si>
    <t>昭和町</t>
    <rPh sb="0" eb="3">
      <t>ショウワチョウ</t>
    </rPh>
    <phoneticPr fontId="3"/>
  </si>
  <si>
    <t>東京○○センター</t>
    <rPh sb="0" eb="2">
      <t>トウキョウ</t>
    </rPh>
    <phoneticPr fontId="3"/>
  </si>
  <si>
    <t>東京都渋谷区○○○○X-XX</t>
    <phoneticPr fontId="3"/>
  </si>
  <si>
    <t>○○ビジネスホテル</t>
    <phoneticPr fontId="3"/>
  </si>
  <si>
    <t>研究課題である「○○」に関する情報収集と研究に関する打ち合わせを行った。</t>
    <rPh sb="0" eb="2">
      <t>ケンキュウ</t>
    </rPh>
    <rPh sb="2" eb="4">
      <t>カダイ</t>
    </rPh>
    <rPh sb="12" eb="13">
      <t>カン</t>
    </rPh>
    <rPh sb="15" eb="17">
      <t>ジョウホウ</t>
    </rPh>
    <rPh sb="17" eb="19">
      <t>シュウシュウ</t>
    </rPh>
    <rPh sb="20" eb="22">
      <t>ケンキュウ</t>
    </rPh>
    <rPh sb="23" eb="24">
      <t>カン</t>
    </rPh>
    <rPh sb="26" eb="27">
      <t>ウ</t>
    </rPh>
    <rPh sb="28" eb="29">
      <t>ア</t>
    </rPh>
    <rPh sb="32" eb="33">
      <t>オコナ</t>
    </rPh>
    <phoneticPr fontId="3"/>
  </si>
  <si>
    <t>新宿</t>
    <rPh sb="0" eb="2">
      <t>シンジュク</t>
    </rPh>
    <phoneticPr fontId="3"/>
  </si>
  <si>
    <t>（自宅最寄り駅）</t>
    <rPh sb="1" eb="3">
      <t>ジタク</t>
    </rPh>
    <rPh sb="3" eb="5">
      <t>モヨ</t>
    </rPh>
    <rPh sb="6" eb="7">
      <t>エキ</t>
    </rPh>
    <phoneticPr fontId="3"/>
  </si>
  <si>
    <t>（乗換駅）</t>
    <rPh sb="1" eb="3">
      <t>ノリカエ</t>
    </rPh>
    <rPh sb="3" eb="4">
      <t>エキ</t>
    </rPh>
    <phoneticPr fontId="3"/>
  </si>
  <si>
    <t>（勤務地最寄り駅）</t>
    <rPh sb="1" eb="4">
      <t>キンムチ</t>
    </rPh>
    <rPh sb="4" eb="6">
      <t>モヨ</t>
    </rPh>
    <rPh sb="7" eb="8">
      <t>エキ</t>
    </rPh>
    <phoneticPr fontId="3"/>
  </si>
  <si>
    <t>ＪＲ</t>
  </si>
  <si>
    <t>大学運営経費</t>
  </si>
  <si>
    <t>○○○○</t>
    <phoneticPr fontId="3"/>
  </si>
  <si>
    <t>　　参加費の精算を希望する</t>
    <rPh sb="2" eb="5">
      <t>サンカヒ</t>
    </rPh>
    <rPh sb="6" eb="8">
      <t>セイサン</t>
    </rPh>
    <rPh sb="9" eb="11">
      <t>キボウ</t>
    </rPh>
    <phoneticPr fontId="5"/>
  </si>
  <si>
    <r>
      <t>　　仮払を希望する</t>
    </r>
    <r>
      <rPr>
        <vertAlign val="superscript"/>
        <sz val="10.5"/>
        <rFont val="ＭＳ 明朝"/>
        <family val="1"/>
        <charset val="128"/>
      </rPr>
      <t>※4</t>
    </r>
    <rPh sb="2" eb="4">
      <t>カリバラ</t>
    </rPh>
    <rPh sb="5" eb="7">
      <t>キボウ</t>
    </rPh>
    <phoneticPr fontId="5"/>
  </si>
  <si>
    <t>旅行報告書兼精算依頼書（記入例）</t>
    <rPh sb="0" eb="1">
      <t>タビ</t>
    </rPh>
    <rPh sb="1" eb="2">
      <t>ギョウ</t>
    </rPh>
    <rPh sb="2" eb="3">
      <t>ホウ</t>
    </rPh>
    <rPh sb="3" eb="4">
      <t>コク</t>
    </rPh>
    <rPh sb="4" eb="5">
      <t>ショ</t>
    </rPh>
    <rPh sb="5" eb="6">
      <t>ケン</t>
    </rPh>
    <rPh sb="6" eb="7">
      <t>セイ</t>
    </rPh>
    <rPh sb="7" eb="8">
      <t>サン</t>
    </rPh>
    <rPh sb="8" eb="9">
      <t>イ</t>
    </rPh>
    <rPh sb="9" eb="10">
      <t>ライ</t>
    </rPh>
    <rPh sb="10" eb="11">
      <t>ショ</t>
    </rPh>
    <rPh sb="12" eb="14">
      <t>キニュウ</t>
    </rPh>
    <rPh sb="14" eb="15">
      <t>レイ</t>
    </rPh>
    <phoneticPr fontId="5"/>
  </si>
  <si>
    <t>東京○○センター</t>
    <phoneticPr fontId="3"/>
  </si>
  <si>
    <t>大阪公立大学工業高等専門学校</t>
    <rPh sb="0" eb="2">
      <t>オオサカ</t>
    </rPh>
    <rPh sb="2" eb="3">
      <t>コウ</t>
    </rPh>
    <rPh sb="3" eb="4">
      <t>リツ</t>
    </rPh>
    <rPh sb="4" eb="6">
      <t>ダイガク</t>
    </rPh>
    <rPh sb="6" eb="8">
      <t>コウギョウ</t>
    </rPh>
    <rPh sb="8" eb="10">
      <t>コウトウ</t>
    </rPh>
    <rPh sb="10" eb="12">
      <t>センモン</t>
    </rPh>
    <rPh sb="12" eb="14">
      <t>ガッコウ</t>
    </rPh>
    <phoneticPr fontId="3"/>
  </si>
  <si>
    <t>国外旅行</t>
    <rPh sb="0" eb="2">
      <t>コクガイ</t>
    </rPh>
    <rPh sb="2" eb="4">
      <t>リョコウ</t>
    </rPh>
    <phoneticPr fontId="11"/>
  </si>
  <si>
    <t>大阪公立大学工業高等専門学校</t>
    <rPh sb="0" eb="2">
      <t>オオサカ</t>
    </rPh>
    <rPh sb="2" eb="4">
      <t>コウリツ</t>
    </rPh>
    <rPh sb="4" eb="6">
      <t>ダイガク</t>
    </rPh>
    <rPh sb="6" eb="8">
      <t>コウギョウ</t>
    </rPh>
    <rPh sb="8" eb="10">
      <t>コウトウ</t>
    </rPh>
    <rPh sb="10" eb="12">
      <t>センモン</t>
    </rPh>
    <rPh sb="12" eb="14">
      <t>ガッコウ</t>
    </rPh>
    <phoneticPr fontId="3"/>
  </si>
  <si>
    <t>用務概要</t>
    <rPh sb="0" eb="2">
      <t>ヨウム</t>
    </rPh>
    <rPh sb="2" eb="4">
      <t>ガイヨウ</t>
    </rPh>
    <phoneticPr fontId="3"/>
  </si>
  <si>
    <r>
      <t>発着地</t>
    </r>
    <r>
      <rPr>
        <vertAlign val="superscript"/>
        <sz val="10.5"/>
        <rFont val="ＭＳ 明朝"/>
        <family val="1"/>
        <charset val="128"/>
      </rPr>
      <t>※3</t>
    </r>
    <rPh sb="0" eb="2">
      <t>ハッチャク</t>
    </rPh>
    <rPh sb="2" eb="3">
      <t>チ</t>
    </rPh>
    <phoneticPr fontId="11"/>
  </si>
  <si>
    <r>
      <t>利用交通機関</t>
    </r>
    <r>
      <rPr>
        <vertAlign val="superscript"/>
        <sz val="10.5"/>
        <rFont val="ＭＳ 明朝"/>
        <family val="1"/>
        <charset val="128"/>
      </rPr>
      <t>※3</t>
    </r>
    <rPh sb="0" eb="2">
      <t>リヨウ</t>
    </rPh>
    <rPh sb="2" eb="4">
      <t>コウツウ</t>
    </rPh>
    <rPh sb="4" eb="6">
      <t>キカン</t>
    </rPh>
    <phoneticPr fontId="3"/>
  </si>
  <si>
    <t>国名</t>
    <rPh sb="0" eb="2">
      <t>コクメイ</t>
    </rPh>
    <phoneticPr fontId="3"/>
  </si>
  <si>
    <t>用務先名称及び住所</t>
    <rPh sb="0" eb="2">
      <t>ヨウム</t>
    </rPh>
    <rPh sb="2" eb="3">
      <t>サキ</t>
    </rPh>
    <rPh sb="3" eb="5">
      <t>メイショウ</t>
    </rPh>
    <rPh sb="5" eb="6">
      <t>オヨ</t>
    </rPh>
    <rPh sb="7" eb="9">
      <t>ジュウショ</t>
    </rPh>
    <phoneticPr fontId="11"/>
  </si>
  <si>
    <t>時間</t>
    <phoneticPr fontId="3"/>
  </si>
  <si>
    <t>宿泊先名称及び住所</t>
    <rPh sb="3" eb="5">
      <t>メイショウ</t>
    </rPh>
    <rPh sb="5" eb="6">
      <t>オヨ</t>
    </rPh>
    <phoneticPr fontId="3"/>
  </si>
  <si>
    <t>宿泊先名称及び住所</t>
    <rPh sb="3" eb="5">
      <t>メイショウ</t>
    </rPh>
    <phoneticPr fontId="3"/>
  </si>
  <si>
    <t>国 内 旅 費</t>
    <rPh sb="0" eb="1">
      <t>クニ</t>
    </rPh>
    <rPh sb="2" eb="3">
      <t>ナイ</t>
    </rPh>
    <rPh sb="4" eb="5">
      <t>タビ</t>
    </rPh>
    <rPh sb="6" eb="7">
      <t>ヒ</t>
    </rPh>
    <phoneticPr fontId="11"/>
  </si>
  <si>
    <t>国内の移動にかかる旅費を請求しない</t>
    <rPh sb="0" eb="2">
      <t>コクナイ</t>
    </rPh>
    <rPh sb="3" eb="5">
      <t>イドウ</t>
    </rPh>
    <rPh sb="9" eb="11">
      <t>リョヒ</t>
    </rPh>
    <rPh sb="12" eb="14">
      <t>セイキュウ</t>
    </rPh>
    <phoneticPr fontId="5"/>
  </si>
  <si>
    <t>※請求しない場合、最寄駅及び通勤定期区間の記入は不要です</t>
    <rPh sb="1" eb="3">
      <t>セイキュウ</t>
    </rPh>
    <rPh sb="6" eb="8">
      <t>バアイ</t>
    </rPh>
    <rPh sb="9" eb="11">
      <t>モヨ</t>
    </rPh>
    <rPh sb="11" eb="12">
      <t>エキ</t>
    </rPh>
    <rPh sb="12" eb="13">
      <t>オヨ</t>
    </rPh>
    <rPh sb="14" eb="16">
      <t>ツウキン</t>
    </rPh>
    <rPh sb="16" eb="18">
      <t>テイキ</t>
    </rPh>
    <rPh sb="18" eb="20">
      <t>クカン</t>
    </rPh>
    <rPh sb="21" eb="23">
      <t>キニュウ</t>
    </rPh>
    <rPh sb="24" eb="26">
      <t>フヨウ</t>
    </rPh>
    <phoneticPr fontId="3"/>
  </si>
  <si>
    <t>※3 発着地・時間及び利用交通機関については、内容がわかる書類を添付することにより記載の省略が可能です。</t>
    <phoneticPr fontId="11"/>
  </si>
  <si>
    <t>※5 国内の移動にかかる旅費を請求する場合で、国内移動に都市間を結ぶ高速バス等（空港連絡バス含む）を利用する際は備考欄に記入してください。</t>
    <phoneticPr fontId="3"/>
  </si>
  <si>
    <t>旅行者氏名</t>
  </si>
  <si>
    <t>（役　職）</t>
  </si>
  <si>
    <t>から</t>
  </si>
  <si>
    <t>まで</t>
  </si>
  <si>
    <t>用務実施内容（報告）</t>
    <phoneticPr fontId="3"/>
  </si>
  <si>
    <t>発着地</t>
    <rPh sb="0" eb="2">
      <t>ハッチャク</t>
    </rPh>
    <rPh sb="2" eb="3">
      <t>チ</t>
    </rPh>
    <phoneticPr fontId="11"/>
  </si>
  <si>
    <t>利用交通機関</t>
    <rPh sb="0" eb="2">
      <t>リヨウ</t>
    </rPh>
    <rPh sb="2" eb="4">
      <t>コウツウ</t>
    </rPh>
    <rPh sb="4" eb="6">
      <t>キカン</t>
    </rPh>
    <phoneticPr fontId="3"/>
  </si>
  <si>
    <t>参加費の精算を希望する場合、参加費に食事代が含まれますか。</t>
    <phoneticPr fontId="3"/>
  </si>
  <si>
    <t>国外の学会等に現地参加し、学会等の参加費に食事代（朝食・昼食・夕食）が含まれる場合は、その種別及び食事の回数をご記入ください。
朝食、昼食、夕食が茶菓子等で１食分の食事相当ではない場合は、「軽食｣欄に回数を記入して下さい。
※プログラム等の食事有無・内容が確認できる資料を添付してください。
※「プログラムに記載の食事回数合計」＝「以下記載の回数合計（朝食・昼食・夕食・軽食」であることを確認してください。</t>
    <rPh sb="167" eb="169">
      <t>イカ</t>
    </rPh>
    <phoneticPr fontId="3"/>
  </si>
  <si>
    <t>参加費に食事代が含まれる</t>
    <rPh sb="0" eb="3">
      <t>サンカヒ</t>
    </rPh>
    <rPh sb="4" eb="7">
      <t>ショクジダイ</t>
    </rPh>
    <rPh sb="8" eb="9">
      <t>フク</t>
    </rPh>
    <phoneticPr fontId="11"/>
  </si>
  <si>
    <t>　&lt;食事の内訳&gt;</t>
    <phoneticPr fontId="5"/>
  </si>
  <si>
    <t>朝食</t>
    <rPh sb="0" eb="2">
      <t>チョウショク</t>
    </rPh>
    <phoneticPr fontId="5"/>
  </si>
  <si>
    <t>回</t>
    <rPh sb="0" eb="1">
      <t>カイ</t>
    </rPh>
    <phoneticPr fontId="5"/>
  </si>
  <si>
    <r>
      <t xml:space="preserve">仮 払 精 算
</t>
    </r>
    <r>
      <rPr>
        <sz val="8"/>
        <rFont val="ＭＳ 明朝"/>
        <family val="1"/>
        <charset val="128"/>
      </rPr>
      <t>※4</t>
    </r>
    <rPh sb="0" eb="1">
      <t>カリ</t>
    </rPh>
    <rPh sb="2" eb="3">
      <t>フツ</t>
    </rPh>
    <rPh sb="4" eb="5">
      <t>セイ</t>
    </rPh>
    <rPh sb="6" eb="7">
      <t>サン</t>
    </rPh>
    <phoneticPr fontId="11"/>
  </si>
  <si>
    <t>昼食</t>
    <rPh sb="0" eb="2">
      <t>チュウショク</t>
    </rPh>
    <phoneticPr fontId="5"/>
  </si>
  <si>
    <t>夕食</t>
    <rPh sb="0" eb="2">
      <t>ユウショク</t>
    </rPh>
    <phoneticPr fontId="5"/>
  </si>
  <si>
    <t>軽食</t>
    <rPh sb="0" eb="2">
      <t>ケイショク</t>
    </rPh>
    <phoneticPr fontId="5"/>
  </si>
  <si>
    <t>※一食分の食事に相当しないもの</t>
    <rPh sb="8" eb="10">
      <t>ソウトウ</t>
    </rPh>
    <phoneticPr fontId="5"/>
  </si>
  <si>
    <t>参加費に食事代が含まれない</t>
    <rPh sb="0" eb="3">
      <t>サンカヒ</t>
    </rPh>
    <rPh sb="4" eb="7">
      <t>ショクジダイ</t>
    </rPh>
    <rPh sb="8" eb="9">
      <t>フク</t>
    </rPh>
    <phoneticPr fontId="11"/>
  </si>
  <si>
    <t>4/4に○○にて開催される学会「○○」に出席し、研究発表及び参加する研究者達と情報交換を行った。学会への出席を通じて国外の研究者達と交流する機会が得られた。これらのことは今後の自らの研究及び教育に生かし、より発展させることができるものと期待される。</t>
    <rPh sb="48" eb="50">
      <t>ガッカイ</t>
    </rPh>
    <rPh sb="93" eb="94">
      <t>オヨ</t>
    </rPh>
    <rPh sb="95" eb="97">
      <t>キョウイク</t>
    </rPh>
    <rPh sb="118" eb="120">
      <t>キタイ</t>
    </rPh>
    <phoneticPr fontId="3"/>
  </si>
  <si>
    <t>伊丹空港</t>
    <phoneticPr fontId="3"/>
  </si>
  <si>
    <t>JL3006</t>
    <phoneticPr fontId="3"/>
  </si>
  <si>
    <t>日本</t>
    <phoneticPr fontId="3"/>
  </si>
  <si>
    <t>移動日</t>
    <phoneticPr fontId="3"/>
  </si>
  <si>
    <t>JFK空港</t>
    <phoneticPr fontId="3"/>
  </si>
  <si>
    <t>JL0005</t>
    <phoneticPr fontId="3"/>
  </si>
  <si>
    <t>アメリカ</t>
  </si>
  <si>
    <t>成田空港</t>
    <phoneticPr fontId="3"/>
  </si>
  <si>
    <t>日本</t>
  </si>
  <si>
    <t>JL0004</t>
    <phoneticPr fontId="3"/>
  </si>
  <si>
    <t>JL0137</t>
    <phoneticPr fontId="3"/>
  </si>
  <si>
    <t>アメリカ</t>
    <phoneticPr fontId="3"/>
  </si>
  <si>
    <t xml:space="preserve">●●ホテル
</t>
  </si>
  <si>
    <t>（TEL：***-****-****）</t>
  </si>
  <si>
    <t>-</t>
    <phoneticPr fontId="3"/>
  </si>
  <si>
    <t>〇〇学会</t>
    <phoneticPr fontId="3"/>
  </si>
  <si>
    <t>会場：××コンベンションセンター</t>
    <phoneticPr fontId="3"/>
  </si>
  <si>
    <t>科研費（代表者）</t>
  </si>
  <si>
    <t>基盤Ｃ</t>
    <rPh sb="0" eb="2">
      <t>キバン</t>
    </rPh>
    <phoneticPr fontId="3"/>
  </si>
  <si>
    <t>○○　○○</t>
    <phoneticPr fontId="3"/>
  </si>
  <si>
    <t>○○○○○○</t>
    <phoneticPr fontId="3"/>
  </si>
  <si>
    <t>KXXKXXXXX</t>
    <phoneticPr fontId="3"/>
  </si>
  <si>
    <t>往路：ＪＲ杉本町駅からモノレール大阪空港駅まで鉄道を利用
復路：伊丹空港からあべの橋駅まで空港リムジンバス利用
伊丹空港～あべの橋（空港リムジンバス）
天王寺駅～昭和町駅（大阪メトロ）</t>
    <rPh sb="0" eb="2">
      <t>オウロ</t>
    </rPh>
    <rPh sb="29" eb="31">
      <t>フクロ</t>
    </rPh>
    <phoneticPr fontId="3"/>
  </si>
  <si>
    <t>月　日</t>
    <rPh sb="0" eb="1">
      <t>ツキ</t>
    </rPh>
    <rPh sb="2" eb="3">
      <t>ニチ</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</si>
</sst>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76" formatCode="h:mm;@"/>
    <numFmt numFmtId="177" formatCode="[$-F800]dddd\,\ mmmm\ dd\,\ yyyy"/>
    <numFmt numFmtId="178" formatCode="m/d;@"/>
    <numFmt numFmtId="179" formatCode="yyyy&quot;年&quot;m&quot;月&quot;d&quot;日&quot;;@"/>
  </numFmts>
  <fonts count="29">
    <font>
      <sz val="11"/>
      <color theme="1"/>
      <name val="游ゴシック"/>
      <family val="2"/>
      <charset val="128"/>
      <scheme val="minor"/>
    </font>
    <font>
      <sz val="11"/>
      <color theme="1"/>
      <name val="游ゴシック"/>
      <family val="2"/>
      <charset val="128"/>
      <scheme val="minor"/>
    </font>
    <font>
      <sz val="11"/>
      <color theme="1"/>
      <name val="游ゴシック"/>
      <family val="3"/>
      <charset val="128"/>
      <scheme val="minor"/>
    </font>
    <font>
      <sz val="6"/>
      <name val="游ゴシック"/>
      <family val="2"/>
      <charset val="128"/>
      <scheme val="minor"/>
    </font>
    <font>
      <sz val="10"/>
      <name val="ＭＳ 明朝"/>
      <family val="1"/>
      <charset val="128"/>
    </font>
    <font>
      <sz val="6"/>
      <name val="ＭＳ Ｐゴシック"/>
      <family val="3"/>
      <charset val="128"/>
    </font>
    <font>
      <sz val="8"/>
      <name val="ＭＳ 明朝"/>
      <family val="1"/>
      <charset val="128"/>
    </font>
    <font>
      <sz val="9"/>
      <name val="ＭＳ 明朝"/>
      <family val="1"/>
      <charset val="128"/>
    </font>
    <font>
      <sz val="18"/>
      <name val="ＭＳ 明朝"/>
      <family val="1"/>
      <charset val="128"/>
    </font>
    <font>
      <sz val="10.5"/>
      <name val="ＭＳ 明朝"/>
      <family val="1"/>
      <charset val="128"/>
    </font>
    <font>
      <sz val="11"/>
      <color indexed="8"/>
      <name val="ＭＳ Ｐゴシック"/>
      <family val="3"/>
      <charset val="128"/>
    </font>
    <font>
      <sz val="6"/>
      <name val="游ゴシック"/>
      <family val="3"/>
      <charset val="128"/>
      <scheme val="minor"/>
    </font>
    <font>
      <vertAlign val="superscript"/>
      <sz val="10.5"/>
      <name val="ＭＳ 明朝"/>
      <family val="1"/>
      <charset val="128"/>
    </font>
    <font>
      <vertAlign val="superscript"/>
      <sz val="9"/>
      <name val="ＭＳ 明朝"/>
      <family val="1"/>
      <charset val="128"/>
    </font>
    <font>
      <u/>
      <sz val="10.5"/>
      <name val="ＭＳ 明朝"/>
      <family val="1"/>
      <charset val="128"/>
    </font>
    <font>
      <sz val="18"/>
      <color rgb="FFFF0000"/>
      <name val="ＭＳ 明朝"/>
      <family val="1"/>
      <charset val="128"/>
    </font>
    <font>
      <sz val="11"/>
      <color theme="1"/>
      <name val="游ゴシック"/>
      <family val="2"/>
      <scheme val="minor"/>
    </font>
    <font>
      <b/>
      <sz val="12"/>
      <color theme="0"/>
      <name val="ＭＳ ゴシック"/>
      <family val="3"/>
      <charset val="128"/>
    </font>
    <font>
      <sz val="36"/>
      <name val="ＭＳ 明朝"/>
      <family val="1"/>
      <charset val="128"/>
    </font>
    <font>
      <sz val="10.5"/>
      <color rgb="FFFF0000"/>
      <name val="ＭＳ 明朝"/>
      <family val="1"/>
      <charset val="128"/>
    </font>
    <font>
      <sz val="9"/>
      <color rgb="FFFF0000"/>
      <name val="ＭＳ 明朝"/>
      <family val="1"/>
      <charset val="128"/>
    </font>
    <font>
      <sz val="10"/>
      <color rgb="FFFF0000"/>
      <name val="ＭＳ 明朝"/>
      <family val="1"/>
      <charset val="128"/>
    </font>
    <font>
      <b/>
      <sz val="9"/>
      <color indexed="81"/>
      <name val="MS P ゴシック"/>
      <family val="3"/>
      <charset val="128"/>
    </font>
    <font>
      <sz val="9"/>
      <color indexed="81"/>
      <name val="MS P ゴシック"/>
      <family val="3"/>
      <charset val="128"/>
    </font>
    <font>
      <b/>
      <sz val="12"/>
      <color indexed="81"/>
      <name val="MS P ゴシック"/>
      <family val="3"/>
      <charset val="128"/>
    </font>
    <font>
      <b/>
      <sz val="14"/>
      <color indexed="81"/>
      <name val="MS P ゴシック"/>
      <family val="3"/>
      <charset val="128"/>
    </font>
    <font>
      <b/>
      <sz val="14"/>
      <color indexed="10"/>
      <name val="MS P ゴシック"/>
      <family val="3"/>
      <charset val="128"/>
    </font>
    <font>
      <sz val="11"/>
      <name val="ＭＳ Ｐゴシック"/>
      <family val="3"/>
      <charset val="128"/>
    </font>
    <font>
      <b/>
      <sz val="10"/>
      <color indexed="81"/>
      <name val="MS P ゴシック"/>
      <family val="3"/>
      <charset val="128"/>
    </font>
  </fonts>
  <fills count="6">
    <fill>
      <patternFill patternType="none"/>
    </fill>
    <fill>
      <patternFill patternType="gray125"/>
    </fill>
    <fill>
      <patternFill patternType="solid">
        <fgColor theme="0" tint="-0.14999847407452621"/>
        <bgColor indexed="64"/>
      </patternFill>
    </fill>
    <fill>
      <patternFill patternType="solid">
        <fgColor rgb="FFFF0000"/>
        <bgColor indexed="64"/>
      </patternFill>
    </fill>
    <fill>
      <patternFill patternType="solid">
        <fgColor rgb="FF00B050"/>
        <bgColor indexed="64"/>
      </patternFill>
    </fill>
    <fill>
      <patternFill patternType="solid">
        <fgColor theme="0"/>
        <bgColor indexed="64"/>
      </patternFill>
    </fill>
  </fills>
  <borders count="54">
    <border>
      <left/>
      <right/>
      <top/>
      <bottom/>
      <diagonal/>
    </border>
    <border>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hair">
        <color indexed="64"/>
      </top>
      <bottom/>
      <diagonal/>
    </border>
    <border>
      <left/>
      <right/>
      <top style="hair">
        <color indexed="64"/>
      </top>
      <bottom/>
      <diagonal/>
    </border>
    <border>
      <left style="thin">
        <color indexed="64"/>
      </left>
      <right/>
      <top style="hair">
        <color indexed="64"/>
      </top>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style="thin">
        <color indexed="64"/>
      </top>
      <bottom style="hair">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hair">
        <color indexed="64"/>
      </left>
      <right/>
      <top/>
      <bottom style="thin">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style="hair">
        <color indexed="64"/>
      </left>
      <right/>
      <top style="hair">
        <color indexed="64"/>
      </top>
      <bottom style="thin">
        <color indexed="64"/>
      </bottom>
      <diagonal/>
    </border>
    <border>
      <left/>
      <right style="hair">
        <color indexed="64"/>
      </right>
      <top style="hair">
        <color indexed="64"/>
      </top>
      <bottom style="thin">
        <color indexed="64"/>
      </bottom>
      <diagonal/>
    </border>
    <border>
      <left style="thin">
        <color indexed="64"/>
      </left>
      <right/>
      <top style="hair">
        <color indexed="64"/>
      </top>
      <bottom style="thin">
        <color indexed="64"/>
      </bottom>
      <diagonal/>
    </border>
    <border>
      <left/>
      <right style="hair">
        <color indexed="64"/>
      </right>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right style="hair">
        <color indexed="64"/>
      </right>
      <top style="thin">
        <color indexed="64"/>
      </top>
      <bottom style="hair">
        <color indexed="64"/>
      </bottom>
      <diagonal/>
    </border>
    <border>
      <left/>
      <right style="hair">
        <color indexed="64"/>
      </right>
      <top style="thin">
        <color indexed="64"/>
      </top>
      <bottom/>
      <diagonal/>
    </border>
    <border>
      <left style="hair">
        <color indexed="64"/>
      </left>
      <right/>
      <top style="thin">
        <color indexed="64"/>
      </top>
      <bottom style="hair">
        <color indexed="64"/>
      </bottom>
      <diagonal/>
    </border>
    <border>
      <left style="hair">
        <color indexed="64"/>
      </left>
      <right/>
      <top style="thin">
        <color indexed="64"/>
      </top>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hair">
        <color indexed="64"/>
      </top>
      <bottom/>
      <diagonal/>
    </border>
    <border>
      <left style="thin">
        <color indexed="64"/>
      </left>
      <right style="hair">
        <color indexed="64"/>
      </right>
      <top/>
      <bottom/>
      <diagonal/>
    </border>
    <border>
      <left style="hair">
        <color indexed="64"/>
      </left>
      <right/>
      <top/>
      <bottom/>
      <diagonal/>
    </border>
    <border>
      <left style="hair">
        <color indexed="64"/>
      </left>
      <right/>
      <top/>
      <bottom style="hair">
        <color indexed="64"/>
      </bottom>
      <diagonal/>
    </border>
    <border>
      <left style="thin">
        <color indexed="64"/>
      </left>
      <right style="hair">
        <color indexed="64"/>
      </right>
      <top/>
      <bottom style="thin">
        <color indexed="64"/>
      </bottom>
      <diagonal/>
    </border>
  </borders>
  <cellStyleXfs count="11">
    <xf numFmtId="0" fontId="0" fillId="0" borderId="0">
      <alignment vertical="center"/>
    </xf>
    <xf numFmtId="0" fontId="2" fillId="0" borderId="0">
      <alignment vertical="center"/>
    </xf>
    <xf numFmtId="0" fontId="1" fillId="0" borderId="0">
      <alignment vertical="center"/>
    </xf>
    <xf numFmtId="0" fontId="10" fillId="0" borderId="0">
      <alignment vertical="center"/>
    </xf>
    <xf numFmtId="0" fontId="2" fillId="0" borderId="0">
      <alignment vertical="center"/>
    </xf>
    <xf numFmtId="0" fontId="1" fillId="0" borderId="0">
      <alignment vertical="center"/>
    </xf>
    <xf numFmtId="0" fontId="16" fillId="0" borderId="0"/>
    <xf numFmtId="0" fontId="2" fillId="0" borderId="0">
      <alignment vertical="center"/>
    </xf>
    <xf numFmtId="38" fontId="1" fillId="0" borderId="0" applyFont="0" applyFill="0" applyBorder="0" applyAlignment="0" applyProtection="0">
      <alignment vertical="center"/>
    </xf>
    <xf numFmtId="0" fontId="16" fillId="0" borderId="0"/>
    <xf numFmtId="0" fontId="27" fillId="0" borderId="0">
      <alignment vertical="center"/>
    </xf>
  </cellStyleXfs>
  <cellXfs count="589">
    <xf numFmtId="0" fontId="0" fillId="0" borderId="0" xfId="0">
      <alignment vertical="center"/>
    </xf>
    <xf numFmtId="0" fontId="8" fillId="0" borderId="0" xfId="1" applyFont="1" applyAlignment="1">
      <alignment vertical="center"/>
    </xf>
    <xf numFmtId="0" fontId="9" fillId="0" borderId="0" xfId="1" applyFont="1">
      <alignment vertical="center"/>
    </xf>
    <xf numFmtId="0" fontId="9" fillId="0" borderId="0" xfId="1" applyFont="1" applyBorder="1">
      <alignment vertical="center"/>
    </xf>
    <xf numFmtId="0" fontId="9" fillId="0" borderId="5" xfId="1" applyFont="1" applyBorder="1">
      <alignment vertical="center"/>
    </xf>
    <xf numFmtId="0" fontId="9" fillId="0" borderId="0" xfId="1" applyFont="1" applyBorder="1" applyAlignment="1">
      <alignment vertical="center"/>
    </xf>
    <xf numFmtId="0" fontId="8" fillId="0" borderId="0" xfId="1" applyFont="1" applyAlignment="1">
      <alignment vertical="center" wrapText="1"/>
    </xf>
    <xf numFmtId="0" fontId="14" fillId="0" borderId="0" xfId="1" applyFont="1" applyAlignment="1">
      <alignment vertical="center"/>
    </xf>
    <xf numFmtId="0" fontId="7" fillId="0" borderId="5" xfId="3" applyFont="1" applyBorder="1">
      <alignment vertical="center"/>
    </xf>
    <xf numFmtId="0" fontId="9" fillId="0" borderId="7" xfId="1" applyFont="1" applyBorder="1">
      <alignment vertical="center"/>
    </xf>
    <xf numFmtId="0" fontId="9" fillId="0" borderId="1" xfId="1" applyFont="1" applyBorder="1">
      <alignment vertical="center"/>
    </xf>
    <xf numFmtId="0" fontId="9" fillId="0" borderId="4" xfId="1" applyFont="1" applyBorder="1">
      <alignment vertical="center"/>
    </xf>
    <xf numFmtId="0" fontId="9" fillId="0" borderId="0" xfId="1" applyFont="1" applyAlignment="1">
      <alignment vertical="center"/>
    </xf>
    <xf numFmtId="0" fontId="9" fillId="0" borderId="5" xfId="1" applyFont="1" applyBorder="1" applyAlignment="1">
      <alignment vertical="center"/>
    </xf>
    <xf numFmtId="0" fontId="4" fillId="0" borderId="31" xfId="4" applyFont="1" applyFill="1" applyBorder="1" applyAlignment="1">
      <alignment vertical="center"/>
    </xf>
    <xf numFmtId="0" fontId="4" fillId="0" borderId="5" xfId="4" applyFont="1" applyFill="1" applyBorder="1" applyAlignment="1">
      <alignment horizontal="right" vertical="center"/>
    </xf>
    <xf numFmtId="0" fontId="4" fillId="0" borderId="5" xfId="4" applyFont="1" applyFill="1" applyBorder="1" applyAlignment="1">
      <alignment vertical="center"/>
    </xf>
    <xf numFmtId="0" fontId="4" fillId="0" borderId="6" xfId="4" applyFont="1" applyFill="1" applyBorder="1" applyAlignment="1">
      <alignment vertical="center"/>
    </xf>
    <xf numFmtId="0" fontId="4" fillId="0" borderId="39" xfId="4" applyFont="1" applyFill="1" applyBorder="1" applyAlignment="1">
      <alignment vertical="center"/>
    </xf>
    <xf numFmtId="0" fontId="4" fillId="0" borderId="1" xfId="4" applyFont="1" applyFill="1" applyBorder="1" applyAlignment="1">
      <alignment horizontal="right" vertical="center"/>
    </xf>
    <xf numFmtId="0" fontId="4" fillId="0" borderId="1" xfId="4" applyFont="1" applyFill="1" applyBorder="1" applyAlignment="1">
      <alignment vertical="center"/>
    </xf>
    <xf numFmtId="0" fontId="4" fillId="0" borderId="8" xfId="4" applyFont="1" applyFill="1" applyBorder="1" applyAlignment="1">
      <alignment vertical="center"/>
    </xf>
    <xf numFmtId="0" fontId="8" fillId="0" borderId="9" xfId="1" applyFont="1" applyBorder="1" applyAlignment="1">
      <alignment vertical="center"/>
    </xf>
    <xf numFmtId="0" fontId="7" fillId="0" borderId="5" xfId="7" applyFont="1" applyBorder="1" applyAlignment="1">
      <alignment horizontal="left" vertical="center" wrapText="1"/>
    </xf>
    <xf numFmtId="0" fontId="9" fillId="0" borderId="0" xfId="7" applyFont="1">
      <alignment vertical="center"/>
    </xf>
    <xf numFmtId="0" fontId="9" fillId="0" borderId="0" xfId="7" applyFont="1" applyBorder="1">
      <alignment vertical="center"/>
    </xf>
    <xf numFmtId="0" fontId="7" fillId="0" borderId="14" xfId="7" applyFont="1" applyBorder="1" applyAlignment="1">
      <alignment vertical="center"/>
    </xf>
    <xf numFmtId="0" fontId="7" fillId="0" borderId="4" xfId="7" applyFont="1" applyBorder="1" applyAlignment="1">
      <alignment vertical="center"/>
    </xf>
    <xf numFmtId="0" fontId="18" fillId="0" borderId="0" xfId="1" applyFont="1" applyAlignment="1">
      <alignment vertical="center"/>
    </xf>
    <xf numFmtId="0" fontId="8" fillId="0" borderId="0" xfId="1" applyFont="1" applyBorder="1" applyAlignment="1">
      <alignment vertical="center"/>
    </xf>
    <xf numFmtId="0" fontId="9" fillId="0" borderId="0" xfId="1" applyFont="1" applyBorder="1" applyAlignment="1">
      <alignment horizontal="center" vertical="center"/>
    </xf>
    <xf numFmtId="0" fontId="9" fillId="0" borderId="9" xfId="1" applyFont="1" applyBorder="1" applyAlignment="1">
      <alignment horizontal="center" vertical="center"/>
    </xf>
    <xf numFmtId="0" fontId="9" fillId="0" borderId="1" xfId="1" applyFont="1" applyBorder="1" applyAlignment="1">
      <alignment horizontal="center" vertical="center"/>
    </xf>
    <xf numFmtId="0" fontId="9" fillId="0" borderId="0" xfId="1" applyFont="1" applyFill="1" applyBorder="1" applyAlignment="1">
      <alignment horizontal="left" vertical="center"/>
    </xf>
    <xf numFmtId="0" fontId="9" fillId="0" borderId="0" xfId="1" applyFont="1" applyBorder="1" applyAlignment="1">
      <alignment horizontal="left" vertical="center"/>
    </xf>
    <xf numFmtId="0" fontId="9" fillId="0" borderId="9" xfId="1" applyFont="1" applyBorder="1" applyAlignment="1">
      <alignment horizontal="left" vertical="center"/>
    </xf>
    <xf numFmtId="0" fontId="9" fillId="0" borderId="1" xfId="1" applyFont="1" applyFill="1" applyBorder="1" applyAlignment="1">
      <alignment horizontal="center" vertical="center"/>
    </xf>
    <xf numFmtId="0" fontId="9" fillId="0" borderId="5" xfId="1" applyFont="1" applyFill="1" applyBorder="1" applyAlignment="1">
      <alignment horizontal="left" vertical="center"/>
    </xf>
    <xf numFmtId="0" fontId="9" fillId="0" borderId="4" xfId="1" applyFont="1" applyFill="1" applyBorder="1" applyAlignment="1">
      <alignment horizontal="left" vertical="center"/>
    </xf>
    <xf numFmtId="0" fontId="9" fillId="0" borderId="1" xfId="7" applyFont="1" applyBorder="1" applyAlignment="1">
      <alignment horizontal="center" vertical="center"/>
    </xf>
    <xf numFmtId="0" fontId="9" fillId="0" borderId="0" xfId="7" applyFont="1" applyBorder="1" applyAlignment="1">
      <alignment horizontal="center" vertical="center"/>
    </xf>
    <xf numFmtId="0" fontId="9" fillId="0" borderId="0" xfId="7" applyFont="1" applyAlignment="1">
      <alignment vertical="center"/>
    </xf>
    <xf numFmtId="0" fontId="9" fillId="0" borderId="2" xfId="7" applyFont="1" applyBorder="1" applyAlignment="1">
      <alignment vertical="center"/>
    </xf>
    <xf numFmtId="0" fontId="9" fillId="0" borderId="1" xfId="7" applyFont="1" applyFill="1" applyBorder="1" applyAlignment="1">
      <alignment horizontal="center" vertical="center"/>
    </xf>
    <xf numFmtId="0" fontId="9" fillId="0" borderId="4" xfId="7" applyFont="1" applyFill="1" applyBorder="1" applyAlignment="1">
      <alignment horizontal="left" vertical="center"/>
    </xf>
    <xf numFmtId="0" fontId="9" fillId="0" borderId="5" xfId="7" applyFont="1" applyFill="1" applyBorder="1" applyAlignment="1">
      <alignment horizontal="left" vertical="center"/>
    </xf>
    <xf numFmtId="0" fontId="9" fillId="0" borderId="9" xfId="7" applyFont="1" applyBorder="1" applyAlignment="1">
      <alignment horizontal="left" vertical="center"/>
    </xf>
    <xf numFmtId="0" fontId="9" fillId="0" borderId="0" xfId="7" applyFont="1" applyBorder="1" applyAlignment="1">
      <alignment horizontal="left" vertical="center"/>
    </xf>
    <xf numFmtId="0" fontId="9" fillId="0" borderId="0" xfId="7" applyFont="1" applyFill="1" applyBorder="1" applyAlignment="1">
      <alignment horizontal="left" vertical="center"/>
    </xf>
    <xf numFmtId="0" fontId="9" fillId="0" borderId="9" xfId="7" applyFont="1" applyBorder="1" applyAlignment="1">
      <alignment horizontal="center" vertical="center"/>
    </xf>
    <xf numFmtId="0" fontId="9" fillId="0" borderId="4" xfId="7" applyFont="1" applyBorder="1">
      <alignment vertical="center"/>
    </xf>
    <xf numFmtId="0" fontId="9" fillId="0" borderId="5" xfId="7" applyFont="1" applyBorder="1">
      <alignment vertical="center"/>
    </xf>
    <xf numFmtId="0" fontId="9" fillId="0" borderId="7" xfId="7" applyFont="1" applyBorder="1">
      <alignment vertical="center"/>
    </xf>
    <xf numFmtId="0" fontId="9" fillId="0" borderId="1" xfId="7" applyFont="1" applyBorder="1">
      <alignment vertical="center"/>
    </xf>
    <xf numFmtId="0" fontId="7" fillId="0" borderId="4" xfId="7" applyFont="1" applyBorder="1" applyAlignment="1">
      <alignment vertical="center" wrapText="1"/>
    </xf>
    <xf numFmtId="0" fontId="7" fillId="0" borderId="5" xfId="7" applyFont="1" applyBorder="1" applyAlignment="1">
      <alignment vertical="center" wrapText="1"/>
    </xf>
    <xf numFmtId="0" fontId="9" fillId="0" borderId="14" xfId="7" applyFont="1" applyBorder="1" applyAlignment="1">
      <alignment vertical="center"/>
    </xf>
    <xf numFmtId="0" fontId="9" fillId="0" borderId="15" xfId="7" applyFont="1" applyBorder="1" applyAlignment="1">
      <alignment vertical="center"/>
    </xf>
    <xf numFmtId="0" fontId="9" fillId="0" borderId="5" xfId="7" applyFont="1" applyBorder="1" applyAlignment="1">
      <alignment vertical="center"/>
    </xf>
    <xf numFmtId="0" fontId="9" fillId="0" borderId="0" xfId="7" applyFont="1" applyBorder="1" applyAlignment="1">
      <alignment vertical="center"/>
    </xf>
    <xf numFmtId="0" fontId="8" fillId="0" borderId="0" xfId="7" applyFont="1" applyAlignment="1">
      <alignment vertical="center" wrapText="1"/>
    </xf>
    <xf numFmtId="0" fontId="14" fillId="0" borderId="0" xfId="7" applyFont="1" applyAlignment="1">
      <alignment vertical="center"/>
    </xf>
    <xf numFmtId="0" fontId="15" fillId="0" borderId="0" xfId="7" applyFont="1" applyAlignment="1">
      <alignment vertical="center"/>
    </xf>
    <xf numFmtId="0" fontId="9" fillId="0" borderId="0" xfId="1" applyFont="1" applyBorder="1" applyAlignment="1">
      <alignment horizontal="center" vertical="center"/>
    </xf>
    <xf numFmtId="0" fontId="9" fillId="0" borderId="1" xfId="1" applyFont="1" applyBorder="1" applyAlignment="1">
      <alignment horizontal="center" vertical="center"/>
    </xf>
    <xf numFmtId="0" fontId="9" fillId="0" borderId="9" xfId="1" applyFont="1" applyBorder="1" applyAlignment="1">
      <alignment horizontal="center" vertical="center"/>
    </xf>
    <xf numFmtId="0" fontId="9" fillId="0" borderId="1" xfId="7" applyFont="1" applyBorder="1" applyAlignment="1">
      <alignment horizontal="center" vertical="center"/>
    </xf>
    <xf numFmtId="0" fontId="9" fillId="0" borderId="1" xfId="1" applyFont="1" applyFill="1" applyBorder="1" applyAlignment="1">
      <alignment horizontal="center" vertical="center"/>
    </xf>
    <xf numFmtId="0" fontId="9" fillId="0" borderId="5" xfId="1" applyFont="1" applyFill="1" applyBorder="1" applyAlignment="1">
      <alignment horizontal="left" vertical="center"/>
    </xf>
    <xf numFmtId="0" fontId="9" fillId="0" borderId="4" xfId="1" applyFont="1" applyFill="1" applyBorder="1" applyAlignment="1">
      <alignment horizontal="left" vertical="center"/>
    </xf>
    <xf numFmtId="0" fontId="9" fillId="0" borderId="0" xfId="1" applyFont="1" applyFill="1" applyBorder="1" applyAlignment="1">
      <alignment horizontal="left" vertical="center"/>
    </xf>
    <xf numFmtId="0" fontId="9" fillId="0" borderId="1" xfId="7" applyFont="1" applyFill="1" applyBorder="1" applyAlignment="1">
      <alignment horizontal="center" vertical="center"/>
    </xf>
    <xf numFmtId="0" fontId="9" fillId="0" borderId="0" xfId="7" applyFont="1" applyFill="1" applyBorder="1" applyAlignment="1">
      <alignment horizontal="center" vertical="center"/>
    </xf>
    <xf numFmtId="0" fontId="9" fillId="0" borderId="0" xfId="7" applyFont="1" applyFill="1" applyBorder="1" applyAlignment="1">
      <alignment horizontal="left" vertical="center"/>
    </xf>
    <xf numFmtId="0" fontId="9" fillId="0" borderId="5" xfId="7" applyFont="1" applyFill="1" applyBorder="1" applyAlignment="1">
      <alignment horizontal="left" vertical="center"/>
    </xf>
    <xf numFmtId="0" fontId="9" fillId="0" borderId="0" xfId="7" applyFont="1" applyBorder="1" applyAlignment="1">
      <alignment horizontal="center" vertical="center"/>
    </xf>
    <xf numFmtId="0" fontId="9" fillId="0" borderId="9" xfId="7" applyFont="1" applyBorder="1" applyAlignment="1">
      <alignment horizontal="center" vertical="center"/>
    </xf>
    <xf numFmtId="0" fontId="9" fillId="0" borderId="1" xfId="7" applyFont="1" applyBorder="1" applyAlignment="1">
      <alignment horizontal="center" vertical="center"/>
    </xf>
    <xf numFmtId="0" fontId="9" fillId="0" borderId="1" xfId="7" applyFont="1" applyFill="1" applyBorder="1" applyAlignment="1">
      <alignment horizontal="center" vertical="center"/>
    </xf>
    <xf numFmtId="0" fontId="9" fillId="0" borderId="0" xfId="7" applyFont="1" applyFill="1" applyBorder="1" applyAlignment="1">
      <alignment horizontal="center" vertical="center"/>
    </xf>
    <xf numFmtId="0" fontId="9" fillId="0" borderId="0" xfId="7" applyFont="1" applyFill="1" applyBorder="1" applyAlignment="1">
      <alignment horizontal="left" vertical="center"/>
    </xf>
    <xf numFmtId="0" fontId="9" fillId="0" borderId="5" xfId="7" applyFont="1" applyFill="1" applyBorder="1" applyAlignment="1">
      <alignment horizontal="left" vertical="center"/>
    </xf>
    <xf numFmtId="0" fontId="9" fillId="0" borderId="0" xfId="7" applyFont="1" applyBorder="1" applyAlignment="1">
      <alignment horizontal="center" vertical="center"/>
    </xf>
    <xf numFmtId="0" fontId="9" fillId="0" borderId="9" xfId="7" applyFont="1" applyBorder="1" applyAlignment="1">
      <alignment horizontal="center" vertical="center"/>
    </xf>
    <xf numFmtId="0" fontId="9" fillId="0" borderId="4" xfId="7" applyFont="1" applyFill="1" applyBorder="1" applyAlignment="1">
      <alignment horizontal="left" vertical="center"/>
    </xf>
    <xf numFmtId="0" fontId="8" fillId="0" borderId="0" xfId="7" applyFont="1" applyAlignment="1">
      <alignment vertical="center"/>
    </xf>
    <xf numFmtId="0" fontId="8" fillId="0" borderId="9" xfId="7" applyFont="1" applyBorder="1" applyAlignment="1">
      <alignment vertical="center"/>
    </xf>
    <xf numFmtId="0" fontId="9" fillId="0" borderId="9" xfId="7" applyFont="1" applyBorder="1">
      <alignment vertical="center"/>
    </xf>
    <xf numFmtId="0" fontId="9" fillId="0" borderId="4" xfId="7" applyFont="1" applyBorder="1" applyAlignment="1">
      <alignment vertical="center"/>
    </xf>
    <xf numFmtId="0" fontId="9" fillId="0" borderId="1" xfId="1" applyFont="1" applyFill="1" applyBorder="1" applyAlignment="1">
      <alignment horizontal="left" vertical="center"/>
    </xf>
    <xf numFmtId="0" fontId="9" fillId="0" borderId="7" xfId="1" applyFont="1" applyFill="1" applyBorder="1" applyAlignment="1">
      <alignment horizontal="left" vertical="center"/>
    </xf>
    <xf numFmtId="0" fontId="9" fillId="0" borderId="5" xfId="1" applyFont="1" applyFill="1" applyBorder="1" applyAlignment="1">
      <alignment horizontal="left" vertical="center"/>
    </xf>
    <xf numFmtId="0" fontId="9" fillId="0" borderId="4" xfId="1" applyFont="1" applyFill="1" applyBorder="1" applyAlignment="1">
      <alignment horizontal="left" vertical="center"/>
    </xf>
    <xf numFmtId="0" fontId="9" fillId="0" borderId="8" xfId="1" applyFont="1" applyFill="1" applyBorder="1" applyAlignment="1">
      <alignment horizontal="center" vertical="center"/>
    </xf>
    <xf numFmtId="0" fontId="9" fillId="0" borderId="1" xfId="1" applyFont="1" applyFill="1" applyBorder="1" applyAlignment="1">
      <alignment horizontal="center" vertical="center"/>
    </xf>
    <xf numFmtId="0" fontId="9" fillId="0" borderId="6" xfId="1" applyFont="1" applyFill="1" applyBorder="1" applyAlignment="1">
      <alignment horizontal="center" vertical="center"/>
    </xf>
    <xf numFmtId="0" fontId="9" fillId="0" borderId="5" xfId="1" applyFont="1" applyFill="1" applyBorder="1" applyAlignment="1">
      <alignment horizontal="center" vertical="center"/>
    </xf>
    <xf numFmtId="0" fontId="9" fillId="0" borderId="41" xfId="1" applyFont="1" applyBorder="1" applyAlignment="1">
      <alignment horizontal="center" vertical="center"/>
    </xf>
    <xf numFmtId="0" fontId="9" fillId="0" borderId="1" xfId="1" applyFont="1" applyBorder="1" applyAlignment="1">
      <alignment horizontal="center" vertical="center"/>
    </xf>
    <xf numFmtId="0" fontId="9" fillId="0" borderId="0" xfId="0" applyFont="1" applyAlignment="1">
      <alignment horizontal="right" vertical="center"/>
    </xf>
    <xf numFmtId="0" fontId="9" fillId="2" borderId="8" xfId="1" applyFont="1" applyFill="1" applyBorder="1" applyAlignment="1">
      <alignment horizontal="center" vertical="center" wrapText="1"/>
    </xf>
    <xf numFmtId="0" fontId="9" fillId="2" borderId="1" xfId="1" applyFont="1" applyFill="1" applyBorder="1" applyAlignment="1">
      <alignment horizontal="center" vertical="center" wrapText="1"/>
    </xf>
    <xf numFmtId="0" fontId="9" fillId="2" borderId="7" xfId="1" applyFont="1" applyFill="1" applyBorder="1" applyAlignment="1">
      <alignment horizontal="center" vertical="center" wrapText="1"/>
    </xf>
    <xf numFmtId="0" fontId="9" fillId="2" borderId="6" xfId="1" applyFont="1" applyFill="1" applyBorder="1" applyAlignment="1">
      <alignment horizontal="center" vertical="center" wrapText="1"/>
    </xf>
    <xf numFmtId="0" fontId="9" fillId="2" borderId="5" xfId="1" applyFont="1" applyFill="1" applyBorder="1" applyAlignment="1">
      <alignment horizontal="center" vertical="center" wrapText="1"/>
    </xf>
    <xf numFmtId="0" fontId="9" fillId="2" borderId="4" xfId="1" applyFont="1" applyFill="1" applyBorder="1" applyAlignment="1">
      <alignment horizontal="center" vertical="center" wrapText="1"/>
    </xf>
    <xf numFmtId="0" fontId="9" fillId="2" borderId="3" xfId="1" applyFont="1" applyFill="1" applyBorder="1" applyAlignment="1">
      <alignment horizontal="center" vertical="center"/>
    </xf>
    <xf numFmtId="0" fontId="9" fillId="0" borderId="3" xfId="1" applyFont="1" applyBorder="1" applyAlignment="1">
      <alignment horizontal="left" vertical="top" wrapText="1"/>
    </xf>
    <xf numFmtId="0" fontId="9" fillId="0" borderId="0" xfId="1" applyFont="1" applyFill="1" applyBorder="1" applyAlignment="1">
      <alignment horizontal="center" vertical="center"/>
    </xf>
    <xf numFmtId="0" fontId="9" fillId="2" borderId="2" xfId="1" applyFont="1" applyFill="1" applyBorder="1" applyAlignment="1">
      <alignment horizontal="center" vertical="center" wrapText="1"/>
    </xf>
    <xf numFmtId="0" fontId="9" fillId="2" borderId="0" xfId="1" applyFont="1" applyFill="1" applyBorder="1" applyAlignment="1">
      <alignment horizontal="center" vertical="center" wrapText="1"/>
    </xf>
    <xf numFmtId="0" fontId="9" fillId="2" borderId="9" xfId="1" applyFont="1" applyFill="1" applyBorder="1" applyAlignment="1">
      <alignment horizontal="center" vertical="center" wrapText="1"/>
    </xf>
    <xf numFmtId="0" fontId="9" fillId="0" borderId="2" xfId="1" applyFont="1" applyFill="1" applyBorder="1" applyAlignment="1">
      <alignment horizontal="center" vertical="center"/>
    </xf>
    <xf numFmtId="0" fontId="9" fillId="0" borderId="0" xfId="1" applyFont="1" applyFill="1" applyBorder="1" applyAlignment="1">
      <alignment horizontal="left" vertical="center"/>
    </xf>
    <xf numFmtId="0" fontId="9" fillId="2" borderId="35" xfId="1" applyFont="1" applyFill="1" applyBorder="1" applyAlignment="1">
      <alignment horizontal="center" vertical="center" shrinkToFit="1"/>
    </xf>
    <xf numFmtId="0" fontId="9" fillId="2" borderId="34" xfId="1" applyFont="1" applyFill="1" applyBorder="1" applyAlignment="1">
      <alignment horizontal="center" vertical="center" shrinkToFit="1"/>
    </xf>
    <xf numFmtId="0" fontId="9" fillId="0" borderId="34" xfId="1" applyFont="1" applyBorder="1" applyAlignment="1">
      <alignment horizontal="center" vertical="center" wrapText="1"/>
    </xf>
    <xf numFmtId="0" fontId="9" fillId="0" borderId="21" xfId="1" applyFont="1" applyBorder="1" applyAlignment="1">
      <alignment horizontal="center" vertical="center" wrapText="1"/>
    </xf>
    <xf numFmtId="0" fontId="9" fillId="2" borderId="29" xfId="1" applyFont="1" applyFill="1" applyBorder="1" applyAlignment="1">
      <alignment horizontal="center" vertical="center"/>
    </xf>
    <xf numFmtId="0" fontId="9" fillId="2" borderId="33" xfId="1" applyFont="1" applyFill="1" applyBorder="1" applyAlignment="1">
      <alignment horizontal="center" vertical="center"/>
    </xf>
    <xf numFmtId="0" fontId="9" fillId="0" borderId="33" xfId="1" applyFont="1" applyBorder="1" applyAlignment="1">
      <alignment horizontal="center" vertical="center"/>
    </xf>
    <xf numFmtId="0" fontId="9" fillId="0" borderId="32" xfId="1" applyFont="1" applyBorder="1" applyAlignment="1">
      <alignment horizontal="center" vertical="center"/>
    </xf>
    <xf numFmtId="0" fontId="9" fillId="0" borderId="1" xfId="1" applyFont="1" applyBorder="1" applyAlignment="1">
      <alignment horizontal="right" vertical="center"/>
    </xf>
    <xf numFmtId="0" fontId="17" fillId="3" borderId="0" xfId="7" applyFont="1" applyFill="1" applyAlignment="1">
      <alignment horizontal="center" vertical="center"/>
    </xf>
    <xf numFmtId="0" fontId="17" fillId="3" borderId="0" xfId="1" applyFont="1" applyFill="1" applyAlignment="1">
      <alignment horizontal="center" vertical="center"/>
    </xf>
    <xf numFmtId="0" fontId="9" fillId="2" borderId="38" xfId="1" applyFont="1" applyFill="1" applyBorder="1" applyAlignment="1">
      <alignment horizontal="center" vertical="center" shrinkToFit="1"/>
    </xf>
    <xf numFmtId="0" fontId="9" fillId="2" borderId="37" xfId="1" applyFont="1" applyFill="1" applyBorder="1" applyAlignment="1">
      <alignment horizontal="center" vertical="center" shrinkToFit="1"/>
    </xf>
    <xf numFmtId="0" fontId="9" fillId="0" borderId="37" xfId="1" applyFont="1" applyBorder="1" applyAlignment="1">
      <alignment horizontal="center" vertical="center" wrapText="1"/>
    </xf>
    <xf numFmtId="0" fontId="9" fillId="0" borderId="36" xfId="1" applyFont="1" applyBorder="1" applyAlignment="1">
      <alignment horizontal="center" vertical="center" wrapText="1"/>
    </xf>
    <xf numFmtId="0" fontId="4" fillId="0" borderId="1" xfId="4" applyFont="1" applyFill="1" applyBorder="1" applyAlignment="1">
      <alignment horizontal="center" vertical="center"/>
    </xf>
    <xf numFmtId="0" fontId="9" fillId="0" borderId="1" xfId="5" applyFont="1" applyBorder="1" applyAlignment="1">
      <alignment horizontal="left" vertical="center" shrinkToFit="1"/>
    </xf>
    <xf numFmtId="0" fontId="4" fillId="0" borderId="5" xfId="4" applyFont="1" applyFill="1" applyBorder="1" applyAlignment="1">
      <alignment horizontal="center" vertical="center"/>
    </xf>
    <xf numFmtId="0" fontId="9" fillId="2" borderId="8" xfId="7" applyFont="1" applyFill="1" applyBorder="1" applyAlignment="1">
      <alignment horizontal="center" vertical="center" wrapText="1"/>
    </xf>
    <xf numFmtId="0" fontId="9" fillId="2" borderId="1" xfId="7" applyFont="1" applyFill="1" applyBorder="1" applyAlignment="1">
      <alignment horizontal="center" vertical="center"/>
    </xf>
    <xf numFmtId="0" fontId="9" fillId="2" borderId="7" xfId="7" applyFont="1" applyFill="1" applyBorder="1" applyAlignment="1">
      <alignment horizontal="center" vertical="center"/>
    </xf>
    <xf numFmtId="0" fontId="9" fillId="2" borderId="6" xfId="7" applyFont="1" applyFill="1" applyBorder="1" applyAlignment="1">
      <alignment horizontal="center" vertical="center"/>
    </xf>
    <xf numFmtId="0" fontId="9" fillId="2" borderId="5" xfId="7" applyFont="1" applyFill="1" applyBorder="1" applyAlignment="1">
      <alignment horizontal="center" vertical="center"/>
    </xf>
    <xf numFmtId="0" fontId="9" fillId="2" borderId="4" xfId="7" applyFont="1" applyFill="1" applyBorder="1" applyAlignment="1">
      <alignment horizontal="center" vertical="center"/>
    </xf>
    <xf numFmtId="0" fontId="9" fillId="0" borderId="8" xfId="7" applyFont="1" applyBorder="1" applyAlignment="1">
      <alignment horizontal="center" vertical="center"/>
    </xf>
    <xf numFmtId="0" fontId="9" fillId="0" borderId="1" xfId="7" applyFont="1" applyBorder="1" applyAlignment="1">
      <alignment horizontal="center" vertical="center"/>
    </xf>
    <xf numFmtId="0" fontId="9" fillId="0" borderId="7" xfId="7" applyFont="1" applyBorder="1" applyAlignment="1">
      <alignment horizontal="center" vertical="center"/>
    </xf>
    <xf numFmtId="0" fontId="9" fillId="0" borderId="8" xfId="7" applyFont="1" applyBorder="1" applyAlignment="1">
      <alignment horizontal="left" vertical="top" wrapText="1"/>
    </xf>
    <xf numFmtId="0" fontId="9" fillId="0" borderId="1" xfId="7" applyFont="1" applyBorder="1" applyAlignment="1">
      <alignment horizontal="left" vertical="top" wrapText="1"/>
    </xf>
    <xf numFmtId="0" fontId="9" fillId="0" borderId="7" xfId="7" applyFont="1" applyBorder="1" applyAlignment="1">
      <alignment horizontal="left" vertical="top" wrapText="1"/>
    </xf>
    <xf numFmtId="0" fontId="9" fillId="0" borderId="6" xfId="7" applyFont="1" applyBorder="1" applyAlignment="1">
      <alignment horizontal="left" vertical="top" wrapText="1"/>
    </xf>
    <xf numFmtId="0" fontId="9" fillId="0" borderId="5" xfId="7" applyFont="1" applyBorder="1" applyAlignment="1">
      <alignment horizontal="left" vertical="top" wrapText="1"/>
    </xf>
    <xf numFmtId="0" fontId="9" fillId="0" borderId="4" xfId="7" applyFont="1" applyBorder="1" applyAlignment="1">
      <alignment horizontal="left" vertical="top" wrapText="1"/>
    </xf>
    <xf numFmtId="0" fontId="9" fillId="0" borderId="30" xfId="7" applyFont="1" applyBorder="1" applyAlignment="1">
      <alignment horizontal="center" vertical="center" shrinkToFit="1"/>
    </xf>
    <xf numFmtId="0" fontId="9" fillId="0" borderId="27" xfId="7" applyFont="1" applyBorder="1" applyAlignment="1">
      <alignment horizontal="center" vertical="center" shrinkToFit="1"/>
    </xf>
    <xf numFmtId="0" fontId="7" fillId="0" borderId="6" xfId="7" applyFont="1" applyBorder="1" applyAlignment="1">
      <alignment horizontal="center" vertical="center"/>
    </xf>
    <xf numFmtId="0" fontId="7" fillId="0" borderId="5" xfId="7" applyFont="1" applyBorder="1" applyAlignment="1">
      <alignment horizontal="center" vertical="center"/>
    </xf>
    <xf numFmtId="20" fontId="7" fillId="0" borderId="5" xfId="7" applyNumberFormat="1" applyFont="1" applyBorder="1" applyAlignment="1">
      <alignment horizontal="center" vertical="center" wrapText="1"/>
    </xf>
    <xf numFmtId="0" fontId="7" fillId="0" borderId="5" xfId="7" applyFont="1" applyBorder="1" applyAlignment="1">
      <alignment horizontal="center" vertical="center" wrapText="1"/>
    </xf>
    <xf numFmtId="0" fontId="7" fillId="0" borderId="4" xfId="7" applyFont="1" applyBorder="1" applyAlignment="1">
      <alignment horizontal="center" vertical="center" wrapText="1"/>
    </xf>
    <xf numFmtId="14" fontId="9" fillId="0" borderId="8" xfId="1" applyNumberFormat="1" applyFont="1" applyBorder="1" applyAlignment="1">
      <alignment horizontal="center" vertical="center"/>
    </xf>
    <xf numFmtId="14" fontId="9" fillId="0" borderId="1" xfId="1" applyNumberFormat="1" applyFont="1" applyBorder="1" applyAlignment="1">
      <alignment horizontal="center" vertical="center"/>
    </xf>
    <xf numFmtId="14" fontId="9" fillId="0" borderId="7" xfId="1" applyNumberFormat="1" applyFont="1" applyBorder="1" applyAlignment="1">
      <alignment horizontal="center" vertical="center"/>
    </xf>
    <xf numFmtId="14" fontId="9" fillId="0" borderId="6" xfId="1" applyNumberFormat="1" applyFont="1" applyBorder="1" applyAlignment="1">
      <alignment horizontal="center" vertical="center"/>
    </xf>
    <xf numFmtId="14" fontId="9" fillId="0" borderId="5" xfId="1" applyNumberFormat="1" applyFont="1" applyBorder="1" applyAlignment="1">
      <alignment horizontal="center" vertical="center"/>
    </xf>
    <xf numFmtId="14" fontId="9" fillId="0" borderId="4" xfId="1" applyNumberFormat="1" applyFont="1" applyBorder="1" applyAlignment="1">
      <alignment horizontal="center" vertical="center"/>
    </xf>
    <xf numFmtId="0" fontId="9" fillId="0" borderId="8" xfId="1" applyFont="1" applyBorder="1" applyAlignment="1">
      <alignment horizontal="center" vertical="top" wrapText="1"/>
    </xf>
    <xf numFmtId="0" fontId="9" fillId="0" borderId="1" xfId="1" applyFont="1" applyBorder="1" applyAlignment="1">
      <alignment horizontal="center" vertical="top" wrapText="1"/>
    </xf>
    <xf numFmtId="0" fontId="9" fillId="0" borderId="7" xfId="1" applyFont="1" applyBorder="1" applyAlignment="1">
      <alignment horizontal="center" vertical="top" wrapText="1"/>
    </xf>
    <xf numFmtId="0" fontId="9" fillId="0" borderId="6" xfId="1" applyFont="1" applyBorder="1" applyAlignment="1">
      <alignment horizontal="center" vertical="top" wrapText="1"/>
    </xf>
    <xf numFmtId="0" fontId="9" fillId="0" borderId="5" xfId="1" applyFont="1" applyBorder="1" applyAlignment="1">
      <alignment horizontal="center" vertical="top" wrapText="1"/>
    </xf>
    <xf numFmtId="0" fontId="9" fillId="0" borderId="4" xfId="1" applyFont="1" applyBorder="1" applyAlignment="1">
      <alignment horizontal="center" vertical="top" wrapText="1"/>
    </xf>
    <xf numFmtId="0" fontId="9" fillId="0" borderId="8" xfId="1" applyFont="1" applyBorder="1" applyAlignment="1">
      <alignment horizontal="left" vertical="top" wrapText="1"/>
    </xf>
    <xf numFmtId="0" fontId="9" fillId="0" borderId="1" xfId="1" applyFont="1" applyBorder="1" applyAlignment="1">
      <alignment horizontal="left" vertical="top" wrapText="1"/>
    </xf>
    <xf numFmtId="0" fontId="9" fillId="0" borderId="6" xfId="1" applyFont="1" applyBorder="1" applyAlignment="1">
      <alignment horizontal="left" vertical="top" wrapText="1"/>
    </xf>
    <xf numFmtId="0" fontId="9" fillId="0" borderId="5" xfId="1" applyFont="1" applyBorder="1" applyAlignment="1">
      <alignment horizontal="left" vertical="top" wrapText="1"/>
    </xf>
    <xf numFmtId="0" fontId="9" fillId="0" borderId="16" xfId="7" applyFont="1" applyBorder="1" applyAlignment="1">
      <alignment horizontal="center" vertical="center" shrinkToFit="1"/>
    </xf>
    <xf numFmtId="0" fontId="9" fillId="0" borderId="15" xfId="7" applyFont="1" applyBorder="1" applyAlignment="1">
      <alignment horizontal="center" vertical="center" shrinkToFit="1"/>
    </xf>
    <xf numFmtId="0" fontId="9" fillId="2" borderId="8" xfId="7" applyFont="1" applyFill="1" applyBorder="1" applyAlignment="1">
      <alignment horizontal="center" vertical="center"/>
    </xf>
    <xf numFmtId="178" fontId="9" fillId="0" borderId="8" xfId="1" applyNumberFormat="1" applyFont="1" applyBorder="1" applyAlignment="1">
      <alignment horizontal="center" vertical="center"/>
    </xf>
    <xf numFmtId="178" fontId="9" fillId="0" borderId="1" xfId="1" applyNumberFormat="1" applyFont="1" applyBorder="1" applyAlignment="1">
      <alignment horizontal="center" vertical="center"/>
    </xf>
    <xf numFmtId="178" fontId="9" fillId="0" borderId="7" xfId="1" applyNumberFormat="1" applyFont="1" applyBorder="1" applyAlignment="1">
      <alignment horizontal="center" vertical="center"/>
    </xf>
    <xf numFmtId="178" fontId="9" fillId="0" borderId="6" xfId="1" applyNumberFormat="1" applyFont="1" applyBorder="1" applyAlignment="1">
      <alignment horizontal="center" vertical="center"/>
    </xf>
    <xf numFmtId="178" fontId="9" fillId="0" borderId="5" xfId="1" applyNumberFormat="1" applyFont="1" applyBorder="1" applyAlignment="1">
      <alignment horizontal="center" vertical="center"/>
    </xf>
    <xf numFmtId="178" fontId="9" fillId="0" borderId="4" xfId="1" applyNumberFormat="1" applyFont="1" applyBorder="1" applyAlignment="1">
      <alignment horizontal="center" vertical="center"/>
    </xf>
    <xf numFmtId="0" fontId="9" fillId="2" borderId="8" xfId="1" applyFont="1" applyFill="1" applyBorder="1" applyAlignment="1">
      <alignment horizontal="center" vertical="center"/>
    </xf>
    <xf numFmtId="0" fontId="9" fillId="2" borderId="1" xfId="1" applyFont="1" applyFill="1" applyBorder="1" applyAlignment="1">
      <alignment horizontal="center" vertical="center"/>
    </xf>
    <xf numFmtId="0" fontId="9" fillId="2" borderId="7" xfId="1" applyFont="1" applyFill="1" applyBorder="1" applyAlignment="1">
      <alignment horizontal="center" vertical="center"/>
    </xf>
    <xf numFmtId="0" fontId="9" fillId="2" borderId="6" xfId="1" applyFont="1" applyFill="1" applyBorder="1" applyAlignment="1">
      <alignment horizontal="center" vertical="center"/>
    </xf>
    <xf numFmtId="0" fontId="9" fillId="2" borderId="5" xfId="1" applyFont="1" applyFill="1" applyBorder="1" applyAlignment="1">
      <alignment horizontal="center" vertical="center"/>
    </xf>
    <xf numFmtId="0" fontId="9" fillId="2" borderId="4" xfId="1" applyFont="1" applyFill="1" applyBorder="1" applyAlignment="1">
      <alignment horizontal="center" vertical="center"/>
    </xf>
    <xf numFmtId="0" fontId="9" fillId="2" borderId="1" xfId="7" applyFont="1" applyFill="1" applyBorder="1" applyAlignment="1">
      <alignment horizontal="center" vertical="center" wrapText="1"/>
    </xf>
    <xf numFmtId="0" fontId="9" fillId="2" borderId="7" xfId="7" applyFont="1" applyFill="1" applyBorder="1" applyAlignment="1">
      <alignment horizontal="center" vertical="center" wrapText="1"/>
    </xf>
    <xf numFmtId="0" fontId="9" fillId="2" borderId="6" xfId="7" applyFont="1" applyFill="1" applyBorder="1" applyAlignment="1">
      <alignment horizontal="center" vertical="center" wrapText="1"/>
    </xf>
    <xf numFmtId="0" fontId="9" fillId="2" borderId="5" xfId="7" applyFont="1" applyFill="1" applyBorder="1" applyAlignment="1">
      <alignment horizontal="center" vertical="center" wrapText="1"/>
    </xf>
    <xf numFmtId="0" fontId="9" fillId="2" borderId="4" xfId="7" applyFont="1" applyFill="1" applyBorder="1" applyAlignment="1">
      <alignment horizontal="center" vertical="center" wrapText="1"/>
    </xf>
    <xf numFmtId="0" fontId="9" fillId="2" borderId="1" xfId="1" applyFont="1" applyFill="1" applyBorder="1" applyAlignment="1">
      <alignment horizontal="left" vertical="top" wrapText="1"/>
    </xf>
    <xf numFmtId="0" fontId="9" fillId="2" borderId="7" xfId="1" applyFont="1" applyFill="1" applyBorder="1" applyAlignment="1">
      <alignment horizontal="left" vertical="top" wrapText="1"/>
    </xf>
    <xf numFmtId="0" fontId="9" fillId="2" borderId="0" xfId="1" applyFont="1" applyFill="1" applyBorder="1" applyAlignment="1">
      <alignment horizontal="left" vertical="top" wrapText="1"/>
    </xf>
    <xf numFmtId="0" fontId="9" fillId="2" borderId="9" xfId="1" applyFont="1" applyFill="1" applyBorder="1" applyAlignment="1">
      <alignment horizontal="left" vertical="top" wrapText="1"/>
    </xf>
    <xf numFmtId="0" fontId="9" fillId="2" borderId="5" xfId="1" applyFont="1" applyFill="1" applyBorder="1" applyAlignment="1">
      <alignment horizontal="left" vertical="top" wrapText="1"/>
    </xf>
    <xf numFmtId="0" fontId="9" fillId="2" borderId="4" xfId="1" applyFont="1" applyFill="1" applyBorder="1" applyAlignment="1">
      <alignment horizontal="left" vertical="top" wrapText="1"/>
    </xf>
    <xf numFmtId="0" fontId="9" fillId="0" borderId="8"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9" xfId="1" applyFont="1" applyBorder="1" applyAlignment="1">
      <alignment horizontal="center" vertical="center" wrapText="1"/>
    </xf>
    <xf numFmtId="0" fontId="9" fillId="0" borderId="6" xfId="1" applyFont="1" applyBorder="1" applyAlignment="1">
      <alignment horizontal="center" vertical="center" wrapText="1"/>
    </xf>
    <xf numFmtId="0" fontId="9" fillId="0" borderId="5" xfId="1" applyFont="1" applyBorder="1" applyAlignment="1">
      <alignment horizontal="center" vertical="center" wrapText="1"/>
    </xf>
    <xf numFmtId="0" fontId="9" fillId="0" borderId="31" xfId="1" applyFont="1" applyBorder="1" applyAlignment="1">
      <alignment horizontal="center" vertical="center" wrapText="1"/>
    </xf>
    <xf numFmtId="0" fontId="9" fillId="2" borderId="39" xfId="1" applyFont="1" applyFill="1" applyBorder="1" applyAlignment="1">
      <alignment horizontal="center" vertical="center"/>
    </xf>
    <xf numFmtId="0" fontId="9" fillId="2" borderId="31" xfId="1" applyFont="1" applyFill="1" applyBorder="1" applyAlignment="1">
      <alignment horizontal="center" vertical="center"/>
    </xf>
    <xf numFmtId="0" fontId="9" fillId="0" borderId="40" xfId="1" applyFont="1" applyBorder="1" applyAlignment="1">
      <alignment horizontal="center" vertical="center" shrinkToFit="1"/>
    </xf>
    <xf numFmtId="0" fontId="9" fillId="0" borderId="15" xfId="1" applyFont="1" applyBorder="1" applyAlignment="1">
      <alignment horizontal="center" vertical="center" shrinkToFit="1"/>
    </xf>
    <xf numFmtId="0" fontId="9" fillId="0" borderId="38" xfId="1" applyFont="1" applyBorder="1" applyAlignment="1">
      <alignment horizontal="center" vertical="center" shrinkToFit="1"/>
    </xf>
    <xf numFmtId="0" fontId="9" fillId="0" borderId="15" xfId="1" applyFont="1" applyBorder="1" applyAlignment="1">
      <alignment horizontal="center" vertical="center"/>
    </xf>
    <xf numFmtId="0" fontId="9" fillId="0" borderId="14" xfId="1" applyFont="1" applyBorder="1" applyAlignment="1">
      <alignment horizontal="center" vertical="center"/>
    </xf>
    <xf numFmtId="0" fontId="9" fillId="0" borderId="28" xfId="1" applyFont="1" applyBorder="1" applyAlignment="1">
      <alignment horizontal="center" vertical="center" shrinkToFit="1"/>
    </xf>
    <xf numFmtId="0" fontId="9" fillId="0" borderId="27" xfId="1" applyFont="1" applyBorder="1" applyAlignment="1">
      <alignment horizontal="center" vertical="center" shrinkToFit="1"/>
    </xf>
    <xf numFmtId="0" fontId="9" fillId="0" borderId="29" xfId="1" applyFont="1" applyBorder="1" applyAlignment="1">
      <alignment horizontal="center" vertical="center" shrinkToFit="1"/>
    </xf>
    <xf numFmtId="0" fontId="9" fillId="0" borderId="5" xfId="1" applyFont="1" applyBorder="1" applyAlignment="1">
      <alignment horizontal="center" vertical="center"/>
    </xf>
    <xf numFmtId="0" fontId="9" fillId="0" borderId="4" xfId="1" applyFont="1" applyBorder="1" applyAlignment="1">
      <alignment horizontal="center" vertical="center"/>
    </xf>
    <xf numFmtId="14" fontId="9" fillId="0" borderId="3" xfId="1" applyNumberFormat="1" applyFont="1" applyBorder="1" applyAlignment="1">
      <alignment horizontal="center" vertical="center"/>
    </xf>
    <xf numFmtId="14" fontId="9" fillId="0" borderId="24" xfId="1" applyNumberFormat="1" applyFont="1" applyBorder="1" applyAlignment="1">
      <alignment horizontal="center" vertical="center"/>
    </xf>
    <xf numFmtId="0" fontId="9" fillId="0" borderId="17" xfId="1" applyFont="1" applyBorder="1" applyAlignment="1">
      <alignment horizontal="center" vertical="center"/>
    </xf>
    <xf numFmtId="0" fontId="9" fillId="0" borderId="19" xfId="1" applyFont="1" applyBorder="1" applyAlignment="1">
      <alignment horizontal="center" vertical="center"/>
    </xf>
    <xf numFmtId="14" fontId="9" fillId="0" borderId="25" xfId="1" applyNumberFormat="1" applyFont="1" applyBorder="1" applyAlignment="1">
      <alignment horizontal="center" vertical="center"/>
    </xf>
    <xf numFmtId="0" fontId="9" fillId="0" borderId="25" xfId="1" applyNumberFormat="1" applyFont="1" applyBorder="1" applyAlignment="1">
      <alignment horizontal="center" vertical="center"/>
    </xf>
    <xf numFmtId="0" fontId="9" fillId="0" borderId="3" xfId="1" applyNumberFormat="1" applyFont="1" applyBorder="1" applyAlignment="1">
      <alignment horizontal="center" vertical="center"/>
    </xf>
    <xf numFmtId="0" fontId="9" fillId="0" borderId="24" xfId="1" applyNumberFormat="1" applyFont="1" applyBorder="1" applyAlignment="1">
      <alignment horizontal="center" vertical="center"/>
    </xf>
    <xf numFmtId="0" fontId="9" fillId="0" borderId="8" xfId="1" applyNumberFormat="1" applyFont="1" applyBorder="1" applyAlignment="1">
      <alignment horizontal="center" vertical="center" wrapText="1"/>
    </xf>
    <xf numFmtId="0" fontId="9" fillId="0" borderId="1" xfId="1" applyNumberFormat="1" applyFont="1" applyBorder="1" applyAlignment="1">
      <alignment horizontal="center" vertical="center" wrapText="1"/>
    </xf>
    <xf numFmtId="0" fontId="9" fillId="0" borderId="39" xfId="1" applyNumberFormat="1" applyFont="1" applyBorder="1" applyAlignment="1">
      <alignment horizontal="center" vertical="center" wrapText="1"/>
    </xf>
    <xf numFmtId="0" fontId="9" fillId="0" borderId="6" xfId="1" applyNumberFormat="1" applyFont="1" applyBorder="1" applyAlignment="1">
      <alignment horizontal="center" vertical="center" wrapText="1"/>
    </xf>
    <xf numFmtId="0" fontId="9" fillId="0" borderId="5" xfId="1" applyNumberFormat="1" applyFont="1" applyBorder="1" applyAlignment="1">
      <alignment horizontal="center" vertical="center" wrapText="1"/>
    </xf>
    <xf numFmtId="0" fontId="9" fillId="0" borderId="31" xfId="1" applyNumberFormat="1" applyFont="1" applyBorder="1" applyAlignment="1">
      <alignment horizontal="center" vertical="center" wrapText="1"/>
    </xf>
    <xf numFmtId="0" fontId="9" fillId="0" borderId="20" xfId="1" applyFont="1" applyBorder="1" applyAlignment="1">
      <alignment horizontal="center" vertical="center" shrinkToFit="1"/>
    </xf>
    <xf numFmtId="0" fontId="9" fillId="0" borderId="5" xfId="1" applyFont="1" applyBorder="1" applyAlignment="1">
      <alignment horizontal="center" vertical="center" shrinkToFit="1"/>
    </xf>
    <xf numFmtId="0" fontId="9" fillId="0" borderId="31" xfId="1" applyFont="1" applyBorder="1" applyAlignment="1">
      <alignment horizontal="center" vertical="center" shrinkToFit="1"/>
    </xf>
    <xf numFmtId="0" fontId="9" fillId="0" borderId="3" xfId="1" applyFont="1" applyBorder="1" applyAlignment="1">
      <alignment horizontal="center" vertical="center"/>
    </xf>
    <xf numFmtId="0" fontId="9" fillId="2" borderId="2" xfId="1" applyFont="1" applyFill="1" applyBorder="1" applyAlignment="1">
      <alignment horizontal="center" vertical="center"/>
    </xf>
    <xf numFmtId="0" fontId="9" fillId="2" borderId="0" xfId="1" applyFont="1" applyFill="1" applyBorder="1" applyAlignment="1">
      <alignment horizontal="center" vertical="center"/>
    </xf>
    <xf numFmtId="179" fontId="9" fillId="0" borderId="0" xfId="1" applyNumberFormat="1" applyFont="1" applyBorder="1" applyAlignment="1">
      <alignment horizontal="center" vertical="center"/>
    </xf>
    <xf numFmtId="179" fontId="9" fillId="0" borderId="5" xfId="1" applyNumberFormat="1" applyFont="1" applyBorder="1" applyAlignment="1">
      <alignment horizontal="center" vertical="center"/>
    </xf>
    <xf numFmtId="0" fontId="9" fillId="0" borderId="8" xfId="1" applyFont="1" applyFill="1" applyBorder="1" applyAlignment="1">
      <alignment horizontal="left" vertical="center"/>
    </xf>
    <xf numFmtId="0" fontId="9" fillId="0" borderId="8" xfId="1" applyFont="1" applyBorder="1" applyAlignment="1">
      <alignment horizontal="center" vertical="center"/>
    </xf>
    <xf numFmtId="0" fontId="9" fillId="0" borderId="7" xfId="1" applyFont="1" applyBorder="1" applyAlignment="1">
      <alignment horizontal="center" vertical="center"/>
    </xf>
    <xf numFmtId="0" fontId="9" fillId="0" borderId="6" xfId="1" applyFont="1" applyBorder="1" applyAlignment="1">
      <alignment horizontal="center" vertical="center"/>
    </xf>
    <xf numFmtId="0" fontId="9" fillId="0" borderId="5" xfId="1" applyFont="1" applyBorder="1" applyAlignment="1">
      <alignment horizontal="left" vertical="center"/>
    </xf>
    <xf numFmtId="0" fontId="9" fillId="0" borderId="4" xfId="1" applyFont="1" applyBorder="1" applyAlignment="1">
      <alignment horizontal="left" vertical="center"/>
    </xf>
    <xf numFmtId="0" fontId="9" fillId="0" borderId="2" xfId="1" applyFont="1" applyBorder="1" applyAlignment="1">
      <alignment horizontal="center" vertical="center"/>
    </xf>
    <xf numFmtId="0" fontId="9" fillId="0" borderId="0" xfId="1" applyFont="1" applyBorder="1" applyAlignment="1">
      <alignment horizontal="center" vertical="center"/>
    </xf>
    <xf numFmtId="0" fontId="9" fillId="0" borderId="9" xfId="1" applyFont="1" applyBorder="1" applyAlignment="1">
      <alignment horizontal="center" vertical="center"/>
    </xf>
    <xf numFmtId="0" fontId="14" fillId="0" borderId="3" xfId="1" applyFont="1" applyBorder="1" applyAlignment="1">
      <alignment horizontal="center" vertical="center"/>
    </xf>
    <xf numFmtId="0" fontId="8" fillId="0" borderId="0" xfId="1" applyFont="1" applyAlignment="1">
      <alignment horizontal="center" vertical="center"/>
    </xf>
    <xf numFmtId="0" fontId="7" fillId="0" borderId="19" xfId="1" applyFont="1" applyBorder="1" applyAlignment="1">
      <alignment horizontal="center" vertical="center"/>
    </xf>
    <xf numFmtId="0" fontId="7" fillId="0" borderId="18" xfId="1" applyFont="1" applyBorder="1" applyAlignment="1">
      <alignment horizontal="center" vertical="center"/>
    </xf>
    <xf numFmtId="0" fontId="7" fillId="0" borderId="17" xfId="1" applyFont="1" applyBorder="1" applyAlignment="1">
      <alignment horizontal="center" vertical="center"/>
    </xf>
    <xf numFmtId="0" fontId="9" fillId="0" borderId="23" xfId="1" applyFont="1" applyBorder="1" applyAlignment="1">
      <alignment horizontal="center" vertical="center" textRotation="255"/>
    </xf>
    <xf numFmtId="0" fontId="9" fillId="0" borderId="22" xfId="1" applyFont="1" applyBorder="1" applyAlignment="1">
      <alignment horizontal="center" vertical="center" textRotation="255"/>
    </xf>
    <xf numFmtId="0" fontId="9" fillId="0" borderId="10" xfId="1" applyFont="1" applyBorder="1" applyAlignment="1">
      <alignment horizontal="center" vertical="center" textRotation="255"/>
    </xf>
    <xf numFmtId="0" fontId="9" fillId="0" borderId="3" xfId="7" applyFont="1" applyBorder="1" applyAlignment="1">
      <alignment horizontal="left" vertical="top" wrapText="1"/>
    </xf>
    <xf numFmtId="0" fontId="7" fillId="0" borderId="6" xfId="7" applyFont="1" applyBorder="1" applyAlignment="1">
      <alignment horizontal="center" vertical="center" wrapText="1"/>
    </xf>
    <xf numFmtId="176" fontId="7" fillId="0" borderId="5" xfId="7" applyNumberFormat="1" applyFont="1" applyBorder="1" applyAlignment="1">
      <alignment horizontal="center" vertical="center" wrapText="1"/>
    </xf>
    <xf numFmtId="0" fontId="9" fillId="0" borderId="8" xfId="7" applyFont="1" applyBorder="1" applyAlignment="1">
      <alignment horizontal="center" vertical="top" wrapText="1"/>
    </xf>
    <xf numFmtId="0" fontId="9" fillId="0" borderId="1" xfId="7" applyFont="1" applyBorder="1" applyAlignment="1">
      <alignment horizontal="center" vertical="top" wrapText="1"/>
    </xf>
    <xf numFmtId="0" fontId="9" fillId="0" borderId="7" xfId="7" applyFont="1" applyBorder="1" applyAlignment="1">
      <alignment horizontal="center" vertical="top" wrapText="1"/>
    </xf>
    <xf numFmtId="0" fontId="8" fillId="0" borderId="0" xfId="7" applyFont="1" applyAlignment="1">
      <alignment horizontal="center" vertical="center"/>
    </xf>
    <xf numFmtId="0" fontId="8" fillId="0" borderId="9" xfId="7" applyFont="1" applyBorder="1" applyAlignment="1">
      <alignment horizontal="center" vertical="center"/>
    </xf>
    <xf numFmtId="0" fontId="7" fillId="0" borderId="19" xfId="7" applyFont="1" applyBorder="1" applyAlignment="1">
      <alignment horizontal="center" vertical="center"/>
    </xf>
    <xf numFmtId="0" fontId="7" fillId="0" borderId="18" xfId="7" applyFont="1" applyBorder="1" applyAlignment="1">
      <alignment horizontal="center" vertical="center"/>
    </xf>
    <xf numFmtId="0" fontId="7" fillId="0" borderId="17" xfId="7" applyFont="1" applyBorder="1" applyAlignment="1">
      <alignment horizontal="center" vertical="center"/>
    </xf>
    <xf numFmtId="0" fontId="9" fillId="0" borderId="23" xfId="7" applyFont="1" applyBorder="1" applyAlignment="1">
      <alignment horizontal="center" vertical="center" textRotation="255"/>
    </xf>
    <xf numFmtId="0" fontId="9" fillId="0" borderId="22" xfId="7" applyFont="1" applyBorder="1" applyAlignment="1">
      <alignment horizontal="center" vertical="center" textRotation="255"/>
    </xf>
    <xf numFmtId="0" fontId="9" fillId="0" borderId="10" xfId="7" applyFont="1" applyBorder="1" applyAlignment="1">
      <alignment horizontal="center" vertical="center" textRotation="255"/>
    </xf>
    <xf numFmtId="0" fontId="9" fillId="0" borderId="3" xfId="7" applyFont="1" applyBorder="1" applyAlignment="1">
      <alignment horizontal="center" vertical="center"/>
    </xf>
    <xf numFmtId="0" fontId="9" fillId="0" borderId="2" xfId="7" applyFont="1" applyBorder="1" applyAlignment="1">
      <alignment horizontal="center" vertical="center"/>
    </xf>
    <xf numFmtId="0" fontId="9" fillId="0" borderId="0" xfId="7" applyFont="1" applyBorder="1" applyAlignment="1">
      <alignment horizontal="center" vertical="center"/>
    </xf>
    <xf numFmtId="0" fontId="9" fillId="0" borderId="9" xfId="7" applyFont="1" applyBorder="1" applyAlignment="1">
      <alignment horizontal="center" vertical="center"/>
    </xf>
    <xf numFmtId="0" fontId="9" fillId="0" borderId="6" xfId="7" applyFont="1" applyBorder="1" applyAlignment="1">
      <alignment horizontal="center" vertical="center"/>
    </xf>
    <xf numFmtId="0" fontId="9" fillId="0" borderId="5" xfId="7" applyFont="1" applyBorder="1" applyAlignment="1">
      <alignment horizontal="center" vertical="center"/>
    </xf>
    <xf numFmtId="0" fontId="9" fillId="0" borderId="4" xfId="7" applyFont="1" applyBorder="1" applyAlignment="1">
      <alignment horizontal="center" vertical="center"/>
    </xf>
    <xf numFmtId="0" fontId="14" fillId="0" borderId="3" xfId="7" applyFont="1" applyBorder="1" applyAlignment="1">
      <alignment horizontal="center" vertical="center"/>
    </xf>
    <xf numFmtId="177" fontId="9" fillId="0" borderId="0" xfId="7" applyNumberFormat="1" applyFont="1" applyBorder="1" applyAlignment="1">
      <alignment horizontal="center" vertical="center"/>
    </xf>
    <xf numFmtId="177" fontId="9" fillId="0" borderId="5" xfId="7" applyNumberFormat="1" applyFont="1" applyBorder="1" applyAlignment="1">
      <alignment horizontal="center" vertical="center"/>
    </xf>
    <xf numFmtId="0" fontId="9" fillId="0" borderId="8" xfId="7" applyFont="1" applyFill="1" applyBorder="1" applyAlignment="1">
      <alignment horizontal="left" vertical="center"/>
    </xf>
    <xf numFmtId="0" fontId="9" fillId="0" borderId="1" xfId="7" applyFont="1" applyFill="1" applyBorder="1" applyAlignment="1">
      <alignment horizontal="left" vertical="center"/>
    </xf>
    <xf numFmtId="0" fontId="9" fillId="0" borderId="7" xfId="7" applyFont="1" applyFill="1" applyBorder="1" applyAlignment="1">
      <alignment horizontal="left" vertical="center"/>
    </xf>
    <xf numFmtId="0" fontId="9" fillId="0" borderId="16" xfId="7" applyFont="1" applyBorder="1" applyAlignment="1">
      <alignment horizontal="center" vertical="center"/>
    </xf>
    <xf numFmtId="0" fontId="9" fillId="0" borderId="15" xfId="7" applyFont="1" applyBorder="1" applyAlignment="1">
      <alignment horizontal="center" vertical="center"/>
    </xf>
    <xf numFmtId="0" fontId="9" fillId="0" borderId="8" xfId="7" applyFont="1" applyBorder="1" applyAlignment="1">
      <alignment horizontal="center" vertical="center" wrapText="1"/>
    </xf>
    <xf numFmtId="0" fontId="9" fillId="0" borderId="1" xfId="7" applyFont="1" applyBorder="1" applyAlignment="1">
      <alignment horizontal="center" vertical="center" wrapText="1"/>
    </xf>
    <xf numFmtId="0" fontId="9" fillId="0" borderId="39" xfId="7" applyFont="1" applyBorder="1" applyAlignment="1">
      <alignment horizontal="center" vertical="center" wrapText="1"/>
    </xf>
    <xf numFmtId="0" fontId="9" fillId="0" borderId="6" xfId="7" applyFont="1" applyBorder="1" applyAlignment="1">
      <alignment horizontal="center" vertical="center" wrapText="1"/>
    </xf>
    <xf numFmtId="0" fontId="9" fillId="0" borderId="5" xfId="7" applyFont="1" applyBorder="1" applyAlignment="1">
      <alignment horizontal="center" vertical="center" wrapText="1"/>
    </xf>
    <xf numFmtId="0" fontId="9" fillId="0" borderId="31" xfId="7" applyFont="1" applyBorder="1" applyAlignment="1">
      <alignment horizontal="center" vertical="center" wrapText="1"/>
    </xf>
    <xf numFmtId="0" fontId="9" fillId="2" borderId="39" xfId="7" applyFont="1" applyFill="1" applyBorder="1" applyAlignment="1">
      <alignment horizontal="center" vertical="center"/>
    </xf>
    <xf numFmtId="0" fontId="9" fillId="2" borderId="31" xfId="7" applyFont="1" applyFill="1" applyBorder="1" applyAlignment="1">
      <alignment horizontal="center" vertical="center"/>
    </xf>
    <xf numFmtId="0" fontId="9" fillId="0" borderId="40" xfId="7" applyFont="1" applyBorder="1" applyAlignment="1">
      <alignment horizontal="center" vertical="center" shrinkToFit="1"/>
    </xf>
    <xf numFmtId="0" fontId="9" fillId="0" borderId="38" xfId="7" applyFont="1" applyBorder="1" applyAlignment="1">
      <alignment horizontal="center" vertical="center" shrinkToFit="1"/>
    </xf>
    <xf numFmtId="0" fontId="9" fillId="0" borderId="14" xfId="7" applyFont="1" applyBorder="1" applyAlignment="1">
      <alignment horizontal="center" vertical="center"/>
    </xf>
    <xf numFmtId="0" fontId="9" fillId="0" borderId="28" xfId="7" applyFont="1" applyBorder="1" applyAlignment="1">
      <alignment horizontal="center" vertical="center" shrinkToFit="1"/>
    </xf>
    <xf numFmtId="0" fontId="9" fillId="0" borderId="29" xfId="7" applyFont="1" applyBorder="1" applyAlignment="1">
      <alignment horizontal="center" vertical="center" shrinkToFit="1"/>
    </xf>
    <xf numFmtId="0" fontId="9" fillId="2" borderId="2" xfId="7" applyFont="1" applyFill="1" applyBorder="1" applyAlignment="1">
      <alignment horizontal="center" vertical="center"/>
    </xf>
    <xf numFmtId="0" fontId="9" fillId="2" borderId="0" xfId="7" applyFont="1" applyFill="1" applyBorder="1" applyAlignment="1">
      <alignment horizontal="center" vertical="center"/>
    </xf>
    <xf numFmtId="0" fontId="9" fillId="2" borderId="9" xfId="7" applyFont="1" applyFill="1" applyBorder="1" applyAlignment="1">
      <alignment horizontal="center" vertical="center"/>
    </xf>
    <xf numFmtId="0" fontId="9" fillId="0" borderId="5" xfId="7" applyFont="1" applyBorder="1" applyAlignment="1">
      <alignment horizontal="left" vertical="center"/>
    </xf>
    <xf numFmtId="0" fontId="9" fillId="0" borderId="4" xfId="7" applyFont="1" applyBorder="1" applyAlignment="1">
      <alignment horizontal="left" vertical="center"/>
    </xf>
    <xf numFmtId="0" fontId="9" fillId="0" borderId="15" xfId="7" applyFont="1" applyBorder="1" applyAlignment="1">
      <alignment horizontal="left" vertical="center"/>
    </xf>
    <xf numFmtId="0" fontId="9" fillId="0" borderId="13" xfId="7" applyFont="1" applyBorder="1" applyAlignment="1">
      <alignment horizontal="left" vertical="top" wrapText="1"/>
    </xf>
    <xf numFmtId="0" fontId="9" fillId="0" borderId="12" xfId="7" applyFont="1" applyBorder="1" applyAlignment="1">
      <alignment horizontal="left" vertical="top" wrapText="1"/>
    </xf>
    <xf numFmtId="0" fontId="9" fillId="0" borderId="11" xfId="7" applyFont="1" applyBorder="1" applyAlignment="1">
      <alignment horizontal="left" vertical="top" wrapText="1"/>
    </xf>
    <xf numFmtId="0" fontId="9" fillId="0" borderId="2" xfId="7" applyFont="1" applyBorder="1" applyAlignment="1">
      <alignment horizontal="left" vertical="top" wrapText="1"/>
    </xf>
    <xf numFmtId="0" fontId="9" fillId="0" borderId="0" xfId="7" applyFont="1" applyBorder="1" applyAlignment="1">
      <alignment horizontal="left" vertical="top" wrapText="1"/>
    </xf>
    <xf numFmtId="0" fontId="9" fillId="0" borderId="9" xfId="7" applyFont="1" applyBorder="1" applyAlignment="1">
      <alignment horizontal="left" vertical="top" wrapText="1"/>
    </xf>
    <xf numFmtId="0" fontId="9" fillId="0" borderId="8" xfId="7" applyNumberFormat="1" applyFont="1" applyBorder="1" applyAlignment="1">
      <alignment horizontal="center" vertical="center" wrapText="1"/>
    </xf>
    <xf numFmtId="0" fontId="9" fillId="0" borderId="1" xfId="7" applyNumberFormat="1" applyFont="1" applyBorder="1" applyAlignment="1">
      <alignment horizontal="center" vertical="center" wrapText="1"/>
    </xf>
    <xf numFmtId="0" fontId="9" fillId="0" borderId="39" xfId="7" applyNumberFormat="1" applyFont="1" applyBorder="1" applyAlignment="1">
      <alignment horizontal="center" vertical="center" wrapText="1"/>
    </xf>
    <xf numFmtId="0" fontId="9" fillId="0" borderId="6" xfId="7" applyNumberFormat="1" applyFont="1" applyBorder="1" applyAlignment="1">
      <alignment horizontal="center" vertical="center" wrapText="1"/>
    </xf>
    <xf numFmtId="0" fontId="9" fillId="0" borderId="5" xfId="7" applyNumberFormat="1" applyFont="1" applyBorder="1" applyAlignment="1">
      <alignment horizontal="center" vertical="center" wrapText="1"/>
    </xf>
    <xf numFmtId="0" fontId="9" fillId="0" borderId="31" xfId="7" applyNumberFormat="1" applyFont="1" applyBorder="1" applyAlignment="1">
      <alignment horizontal="center" vertical="center" wrapText="1"/>
    </xf>
    <xf numFmtId="0" fontId="9" fillId="0" borderId="20" xfId="7" applyFont="1" applyBorder="1" applyAlignment="1">
      <alignment horizontal="center" vertical="center" shrinkToFit="1"/>
    </xf>
    <xf numFmtId="0" fontId="9" fillId="0" borderId="5" xfId="7" applyFont="1" applyBorder="1" applyAlignment="1">
      <alignment horizontal="center" vertical="center" shrinkToFit="1"/>
    </xf>
    <xf numFmtId="0" fontId="9" fillId="0" borderId="31" xfId="7" applyFont="1" applyBorder="1" applyAlignment="1">
      <alignment horizontal="center" vertical="center" shrinkToFit="1"/>
    </xf>
    <xf numFmtId="0" fontId="9" fillId="0" borderId="28" xfId="7" applyFont="1" applyBorder="1" applyAlignment="1">
      <alignment horizontal="center" vertical="center"/>
    </xf>
    <xf numFmtId="0" fontId="9" fillId="0" borderId="26" xfId="7" applyFont="1" applyBorder="1" applyAlignment="1">
      <alignment horizontal="center" vertical="center"/>
    </xf>
    <xf numFmtId="14" fontId="9" fillId="0" borderId="3" xfId="7" applyNumberFormat="1" applyFont="1" applyBorder="1" applyAlignment="1">
      <alignment horizontal="center" vertical="center"/>
    </xf>
    <xf numFmtId="14" fontId="9" fillId="0" borderId="24" xfId="7" applyNumberFormat="1" applyFont="1" applyBorder="1" applyAlignment="1">
      <alignment horizontal="center" vertical="center"/>
    </xf>
    <xf numFmtId="0" fontId="9" fillId="0" borderId="17" xfId="7" applyFont="1" applyBorder="1" applyAlignment="1">
      <alignment horizontal="center" vertical="center"/>
    </xf>
    <xf numFmtId="0" fontId="9" fillId="0" borderId="19" xfId="7" applyFont="1" applyBorder="1" applyAlignment="1">
      <alignment horizontal="center" vertical="center"/>
    </xf>
    <xf numFmtId="14" fontId="9" fillId="0" borderId="25" xfId="7" applyNumberFormat="1" applyFont="1" applyBorder="1" applyAlignment="1">
      <alignment horizontal="center" vertical="center"/>
    </xf>
    <xf numFmtId="0" fontId="9" fillId="0" borderId="25" xfId="7" applyNumberFormat="1" applyFont="1" applyBorder="1" applyAlignment="1">
      <alignment horizontal="center" vertical="center"/>
    </xf>
    <xf numFmtId="0" fontId="9" fillId="0" borderId="3" xfId="7" applyNumberFormat="1" applyFont="1" applyBorder="1" applyAlignment="1">
      <alignment horizontal="center" vertical="center"/>
    </xf>
    <xf numFmtId="0" fontId="9" fillId="0" borderId="24" xfId="7" applyNumberFormat="1" applyFont="1" applyBorder="1" applyAlignment="1">
      <alignment horizontal="center" vertical="center"/>
    </xf>
    <xf numFmtId="0" fontId="9" fillId="2" borderId="3" xfId="7" applyFont="1" applyFill="1" applyBorder="1" applyAlignment="1">
      <alignment horizontal="center" vertical="center"/>
    </xf>
    <xf numFmtId="178" fontId="9" fillId="0" borderId="8" xfId="7" applyNumberFormat="1" applyFont="1" applyBorder="1" applyAlignment="1">
      <alignment horizontal="center" vertical="center"/>
    </xf>
    <xf numFmtId="178" fontId="9" fillId="0" borderId="1" xfId="7" applyNumberFormat="1" applyFont="1" applyBorder="1" applyAlignment="1">
      <alignment horizontal="center" vertical="center"/>
    </xf>
    <xf numFmtId="178" fontId="9" fillId="0" borderId="7" xfId="7" applyNumberFormat="1" applyFont="1" applyBorder="1" applyAlignment="1">
      <alignment horizontal="center" vertical="center"/>
    </xf>
    <xf numFmtId="178" fontId="9" fillId="0" borderId="6" xfId="7" applyNumberFormat="1" applyFont="1" applyBorder="1" applyAlignment="1">
      <alignment horizontal="center" vertical="center"/>
    </xf>
    <xf numFmtId="178" fontId="9" fillId="0" borderId="5" xfId="7" applyNumberFormat="1" applyFont="1" applyBorder="1" applyAlignment="1">
      <alignment horizontal="center" vertical="center"/>
    </xf>
    <xf numFmtId="178" fontId="9" fillId="0" borderId="4" xfId="7" applyNumberFormat="1" applyFont="1" applyBorder="1" applyAlignment="1">
      <alignment horizontal="center" vertical="center"/>
    </xf>
    <xf numFmtId="14" fontId="9" fillId="0" borderId="8" xfId="7" applyNumberFormat="1" applyFont="1" applyBorder="1" applyAlignment="1">
      <alignment horizontal="center" vertical="center"/>
    </xf>
    <xf numFmtId="14" fontId="9" fillId="0" borderId="1" xfId="7" applyNumberFormat="1" applyFont="1" applyBorder="1" applyAlignment="1">
      <alignment horizontal="center" vertical="center"/>
    </xf>
    <xf numFmtId="14" fontId="9" fillId="0" borderId="7" xfId="7" applyNumberFormat="1" applyFont="1" applyBorder="1" applyAlignment="1">
      <alignment horizontal="center" vertical="center"/>
    </xf>
    <xf numFmtId="14" fontId="9" fillId="0" borderId="6" xfId="7" applyNumberFormat="1" applyFont="1" applyBorder="1" applyAlignment="1">
      <alignment horizontal="center" vertical="center"/>
    </xf>
    <xf numFmtId="14" fontId="9" fillId="0" borderId="5" xfId="7" applyNumberFormat="1" applyFont="1" applyBorder="1" applyAlignment="1">
      <alignment horizontal="center" vertical="center"/>
    </xf>
    <xf numFmtId="14" fontId="9" fillId="0" borderId="4" xfId="7" applyNumberFormat="1" applyFont="1" applyBorder="1" applyAlignment="1">
      <alignment horizontal="center" vertical="center"/>
    </xf>
    <xf numFmtId="0" fontId="9" fillId="0" borderId="41" xfId="7" applyFont="1" applyBorder="1" applyAlignment="1">
      <alignment horizontal="center" vertical="center"/>
    </xf>
    <xf numFmtId="0" fontId="9" fillId="0" borderId="0" xfId="7" applyFont="1" applyFill="1" applyBorder="1" applyAlignment="1">
      <alignment horizontal="left" vertical="center"/>
    </xf>
    <xf numFmtId="0" fontId="9" fillId="0" borderId="9" xfId="7" applyFont="1" applyFill="1" applyBorder="1" applyAlignment="1">
      <alignment horizontal="left" vertical="center"/>
    </xf>
    <xf numFmtId="0" fontId="9" fillId="0" borderId="1" xfId="7" applyFont="1" applyBorder="1" applyAlignment="1">
      <alignment horizontal="right" vertical="center"/>
    </xf>
    <xf numFmtId="0" fontId="9" fillId="2" borderId="2" xfId="7" applyFont="1" applyFill="1" applyBorder="1" applyAlignment="1">
      <alignment horizontal="center" vertical="center" wrapText="1"/>
    </xf>
    <xf numFmtId="0" fontId="9" fillId="2" borderId="0" xfId="7" applyFont="1" applyFill="1" applyBorder="1" applyAlignment="1">
      <alignment horizontal="center" vertical="center" wrapText="1"/>
    </xf>
    <xf numFmtId="0" fontId="9" fillId="2" borderId="9" xfId="7" applyFont="1" applyFill="1" applyBorder="1" applyAlignment="1">
      <alignment horizontal="center" vertical="center" wrapText="1"/>
    </xf>
    <xf numFmtId="0" fontId="9" fillId="2" borderId="16" xfId="1" applyFont="1" applyFill="1" applyBorder="1" applyAlignment="1">
      <alignment horizontal="center" vertical="center" shrinkToFit="1"/>
    </xf>
    <xf numFmtId="0" fontId="9" fillId="2" borderId="15" xfId="1" applyFont="1" applyFill="1" applyBorder="1" applyAlignment="1">
      <alignment horizontal="center" vertical="center" shrinkToFit="1"/>
    </xf>
    <xf numFmtId="0" fontId="9" fillId="0" borderId="37" xfId="7" applyFont="1" applyBorder="1" applyAlignment="1">
      <alignment horizontal="center" vertical="center" wrapText="1"/>
    </xf>
    <xf numFmtId="0" fontId="9" fillId="0" borderId="36" xfId="7" applyFont="1" applyBorder="1" applyAlignment="1">
      <alignment horizontal="center" vertical="center" wrapText="1"/>
    </xf>
    <xf numFmtId="0" fontId="9" fillId="2" borderId="43" xfId="1" applyFont="1" applyFill="1" applyBorder="1" applyAlignment="1">
      <alignment horizontal="center" vertical="center" shrinkToFit="1"/>
    </xf>
    <xf numFmtId="0" fontId="9" fillId="2" borderId="42" xfId="1" applyFont="1" applyFill="1" applyBorder="1" applyAlignment="1">
      <alignment horizontal="center" vertical="center" shrinkToFit="1"/>
    </xf>
    <xf numFmtId="0" fontId="9" fillId="0" borderId="34" xfId="7" applyFont="1" applyBorder="1" applyAlignment="1">
      <alignment horizontal="center" vertical="center" wrapText="1"/>
    </xf>
    <xf numFmtId="0" fontId="9" fillId="0" borderId="21" xfId="7" applyFont="1" applyBorder="1" applyAlignment="1">
      <alignment horizontal="center" vertical="center" wrapText="1"/>
    </xf>
    <xf numFmtId="0" fontId="9" fillId="2" borderId="29" xfId="7" applyFont="1" applyFill="1" applyBorder="1" applyAlignment="1">
      <alignment horizontal="center" vertical="center"/>
    </xf>
    <xf numFmtId="0" fontId="9" fillId="2" borderId="33" xfId="7" applyFont="1" applyFill="1" applyBorder="1" applyAlignment="1">
      <alignment horizontal="center" vertical="center"/>
    </xf>
    <xf numFmtId="0" fontId="9" fillId="0" borderId="33" xfId="7" applyFont="1" applyBorder="1" applyAlignment="1">
      <alignment horizontal="center" vertical="center"/>
    </xf>
    <xf numFmtId="0" fontId="9" fillId="0" borderId="32" xfId="7" applyFont="1" applyBorder="1" applyAlignment="1">
      <alignment horizontal="center" vertical="center"/>
    </xf>
    <xf numFmtId="0" fontId="9" fillId="0" borderId="8" xfId="7" applyFont="1" applyFill="1" applyBorder="1" applyAlignment="1">
      <alignment horizontal="center" vertical="center"/>
    </xf>
    <xf numFmtId="0" fontId="9" fillId="0" borderId="1" xfId="7" applyFont="1" applyFill="1" applyBorder="1" applyAlignment="1">
      <alignment horizontal="center" vertical="center"/>
    </xf>
    <xf numFmtId="0" fontId="9" fillId="0" borderId="6" xfId="7" applyFont="1" applyFill="1" applyBorder="1" applyAlignment="1">
      <alignment horizontal="center" vertical="center"/>
    </xf>
    <xf numFmtId="0" fontId="9" fillId="0" borderId="5" xfId="7" applyFont="1" applyFill="1" applyBorder="1" applyAlignment="1">
      <alignment horizontal="center" vertical="center"/>
    </xf>
    <xf numFmtId="0" fontId="9" fillId="0" borderId="2" xfId="7" applyFont="1" applyFill="1" applyBorder="1" applyAlignment="1">
      <alignment horizontal="center" vertical="center"/>
    </xf>
    <xf numFmtId="0" fontId="9" fillId="0" borderId="0" xfId="7" applyFont="1" applyFill="1" applyBorder="1" applyAlignment="1">
      <alignment horizontal="center" vertical="center"/>
    </xf>
    <xf numFmtId="0" fontId="9" fillId="0" borderId="5" xfId="7" applyFont="1" applyFill="1" applyBorder="1" applyAlignment="1">
      <alignment horizontal="left" vertical="center"/>
    </xf>
    <xf numFmtId="0" fontId="19" fillId="0" borderId="8" xfId="1" applyFont="1" applyBorder="1" applyAlignment="1">
      <alignment horizontal="center" vertical="center" wrapText="1"/>
    </xf>
    <xf numFmtId="0" fontId="19" fillId="0" borderId="1" xfId="1" applyFont="1" applyBorder="1" applyAlignment="1">
      <alignment horizontal="center" vertical="center" wrapText="1"/>
    </xf>
    <xf numFmtId="0" fontId="19" fillId="0" borderId="39" xfId="1" applyFont="1" applyBorder="1" applyAlignment="1">
      <alignment horizontal="center" vertical="center" wrapText="1"/>
    </xf>
    <xf numFmtId="0" fontId="19" fillId="0" borderId="6" xfId="1" applyFont="1" applyBorder="1" applyAlignment="1">
      <alignment horizontal="center" vertical="center" wrapText="1"/>
    </xf>
    <xf numFmtId="0" fontId="19" fillId="0" borderId="5" xfId="1" applyFont="1" applyBorder="1" applyAlignment="1">
      <alignment horizontal="center" vertical="center" wrapText="1"/>
    </xf>
    <xf numFmtId="0" fontId="19" fillId="0" borderId="31" xfId="1" applyFont="1" applyBorder="1" applyAlignment="1">
      <alignment horizontal="center" vertical="center" wrapText="1"/>
    </xf>
    <xf numFmtId="0" fontId="19" fillId="0" borderId="40" xfId="1" applyFont="1" applyBorder="1" applyAlignment="1">
      <alignment horizontal="center" vertical="center" shrinkToFit="1"/>
    </xf>
    <xf numFmtId="0" fontId="19" fillId="0" borderId="15" xfId="1" applyFont="1" applyBorder="1" applyAlignment="1">
      <alignment horizontal="center" vertical="center" shrinkToFit="1"/>
    </xf>
    <xf numFmtId="0" fontId="19" fillId="0" borderId="38" xfId="1" applyFont="1" applyBorder="1" applyAlignment="1">
      <alignment horizontal="center" vertical="center" shrinkToFit="1"/>
    </xf>
    <xf numFmtId="0" fontId="19" fillId="0" borderId="28" xfId="1" applyFont="1" applyBorder="1" applyAlignment="1">
      <alignment horizontal="center" vertical="center" shrinkToFit="1"/>
    </xf>
    <xf numFmtId="0" fontId="19" fillId="0" borderId="27" xfId="1" applyFont="1" applyBorder="1" applyAlignment="1">
      <alignment horizontal="center" vertical="center" shrinkToFit="1"/>
    </xf>
    <xf numFmtId="0" fontId="19" fillId="0" borderId="29" xfId="1" applyFont="1" applyBorder="1" applyAlignment="1">
      <alignment horizontal="center" vertical="center" shrinkToFit="1"/>
    </xf>
    <xf numFmtId="14" fontId="19" fillId="0" borderId="3" xfId="1" applyNumberFormat="1" applyFont="1" applyBorder="1" applyAlignment="1">
      <alignment horizontal="center" vertical="center"/>
    </xf>
    <xf numFmtId="14" fontId="19" fillId="0" borderId="24" xfId="1" applyNumberFormat="1" applyFont="1" applyBorder="1" applyAlignment="1">
      <alignment horizontal="center" vertical="center"/>
    </xf>
    <xf numFmtId="14" fontId="19" fillId="0" borderId="25" xfId="1" applyNumberFormat="1" applyFont="1" applyBorder="1" applyAlignment="1">
      <alignment horizontal="center" vertical="center"/>
    </xf>
    <xf numFmtId="0" fontId="19" fillId="0" borderId="25" xfId="1" applyNumberFormat="1" applyFont="1" applyBorder="1" applyAlignment="1">
      <alignment horizontal="center" vertical="center"/>
    </xf>
    <xf numFmtId="0" fontId="19" fillId="0" borderId="3" xfId="1" applyNumberFormat="1" applyFont="1" applyBorder="1" applyAlignment="1">
      <alignment horizontal="center" vertical="center"/>
    </xf>
    <xf numFmtId="0" fontId="19" fillId="0" borderId="24" xfId="1" applyNumberFormat="1" applyFont="1" applyBorder="1" applyAlignment="1">
      <alignment horizontal="center" vertical="center"/>
    </xf>
    <xf numFmtId="0" fontId="19" fillId="0" borderId="8" xfId="1" applyNumberFormat="1" applyFont="1" applyBorder="1" applyAlignment="1">
      <alignment horizontal="center" vertical="center" wrapText="1"/>
    </xf>
    <xf numFmtId="0" fontId="19" fillId="0" borderId="1" xfId="1" applyNumberFormat="1" applyFont="1" applyBorder="1" applyAlignment="1">
      <alignment horizontal="center" vertical="center" wrapText="1"/>
    </xf>
    <xf numFmtId="0" fontId="19" fillId="0" borderId="39" xfId="1" applyNumberFormat="1" applyFont="1" applyBorder="1" applyAlignment="1">
      <alignment horizontal="center" vertical="center" wrapText="1"/>
    </xf>
    <xf numFmtId="0" fontId="19" fillId="0" borderId="6" xfId="1" applyNumberFormat="1" applyFont="1" applyBorder="1" applyAlignment="1">
      <alignment horizontal="center" vertical="center" wrapText="1"/>
    </xf>
    <xf numFmtId="0" fontId="19" fillId="0" borderId="5" xfId="1" applyNumberFormat="1" applyFont="1" applyBorder="1" applyAlignment="1">
      <alignment horizontal="center" vertical="center" wrapText="1"/>
    </xf>
    <xf numFmtId="0" fontId="19" fillId="0" borderId="31" xfId="1" applyNumberFormat="1" applyFont="1" applyBorder="1" applyAlignment="1">
      <alignment horizontal="center" vertical="center" wrapText="1"/>
    </xf>
    <xf numFmtId="0" fontId="19" fillId="0" borderId="20" xfId="1" applyFont="1" applyBorder="1" applyAlignment="1">
      <alignment horizontal="center" vertical="center" shrinkToFit="1"/>
    </xf>
    <xf numFmtId="0" fontId="19" fillId="0" borderId="5" xfId="1" applyFont="1" applyBorder="1" applyAlignment="1">
      <alignment horizontal="center" vertical="center" shrinkToFit="1"/>
    </xf>
    <xf numFmtId="0" fontId="19" fillId="0" borderId="31" xfId="1" applyFont="1" applyBorder="1" applyAlignment="1">
      <alignment horizontal="center" vertical="center" shrinkToFit="1"/>
    </xf>
    <xf numFmtId="14" fontId="19" fillId="0" borderId="8" xfId="1" applyNumberFormat="1" applyFont="1" applyBorder="1" applyAlignment="1">
      <alignment horizontal="center" vertical="center"/>
    </xf>
    <xf numFmtId="14" fontId="19" fillId="0" borderId="1" xfId="1" applyNumberFormat="1" applyFont="1" applyBorder="1" applyAlignment="1">
      <alignment horizontal="center" vertical="center"/>
    </xf>
    <xf numFmtId="14" fontId="19" fillId="0" borderId="7" xfId="1" applyNumberFormat="1" applyFont="1" applyBorder="1" applyAlignment="1">
      <alignment horizontal="center" vertical="center"/>
    </xf>
    <xf numFmtId="14" fontId="19" fillId="0" borderId="6" xfId="1" applyNumberFormat="1" applyFont="1" applyBorder="1" applyAlignment="1">
      <alignment horizontal="center" vertical="center"/>
    </xf>
    <xf numFmtId="14" fontId="19" fillId="0" borderId="5" xfId="1" applyNumberFormat="1" applyFont="1" applyBorder="1" applyAlignment="1">
      <alignment horizontal="center" vertical="center"/>
    </xf>
    <xf numFmtId="14" fontId="19" fillId="0" borderId="4" xfId="1" applyNumberFormat="1" applyFont="1" applyBorder="1" applyAlignment="1">
      <alignment horizontal="center" vertical="center"/>
    </xf>
    <xf numFmtId="0" fontId="19" fillId="0" borderId="8" xfId="1" applyFont="1" applyBorder="1" applyAlignment="1">
      <alignment horizontal="center" vertical="top" wrapText="1"/>
    </xf>
    <xf numFmtId="0" fontId="19" fillId="0" borderId="1" xfId="1" applyFont="1" applyBorder="1" applyAlignment="1">
      <alignment horizontal="center" vertical="top" wrapText="1"/>
    </xf>
    <xf numFmtId="0" fontId="19" fillId="0" borderId="7" xfId="1" applyFont="1" applyBorder="1" applyAlignment="1">
      <alignment horizontal="center" vertical="top" wrapText="1"/>
    </xf>
    <xf numFmtId="0" fontId="19" fillId="0" borderId="6" xfId="1" applyFont="1" applyBorder="1" applyAlignment="1">
      <alignment horizontal="center" vertical="top" wrapText="1"/>
    </xf>
    <xf numFmtId="0" fontId="19" fillId="0" borderId="5" xfId="1" applyFont="1" applyBorder="1" applyAlignment="1">
      <alignment horizontal="center" vertical="top" wrapText="1"/>
    </xf>
    <xf numFmtId="0" fontId="19" fillId="0" borderId="4" xfId="1" applyFont="1" applyBorder="1" applyAlignment="1">
      <alignment horizontal="center" vertical="top" wrapText="1"/>
    </xf>
    <xf numFmtId="0" fontId="19" fillId="0" borderId="8" xfId="1" applyFont="1" applyBorder="1" applyAlignment="1">
      <alignment horizontal="left" vertical="top" wrapText="1"/>
    </xf>
    <xf numFmtId="0" fontId="19" fillId="0" borderId="1" xfId="1" applyFont="1" applyBorder="1" applyAlignment="1">
      <alignment horizontal="left" vertical="top" wrapText="1"/>
    </xf>
    <xf numFmtId="0" fontId="19" fillId="0" borderId="6" xfId="1" applyFont="1" applyBorder="1" applyAlignment="1">
      <alignment horizontal="left" vertical="top" wrapText="1"/>
    </xf>
    <xf numFmtId="0" fontId="19" fillId="0" borderId="5" xfId="1" applyFont="1" applyBorder="1" applyAlignment="1">
      <alignment horizontal="left" vertical="top" wrapText="1"/>
    </xf>
    <xf numFmtId="0" fontId="19" fillId="0" borderId="16" xfId="7" applyFont="1" applyBorder="1" applyAlignment="1">
      <alignment horizontal="center" vertical="center" shrinkToFit="1"/>
    </xf>
    <xf numFmtId="0" fontId="19" fillId="0" borderId="15" xfId="7" applyFont="1" applyBorder="1" applyAlignment="1">
      <alignment horizontal="center" vertical="center" shrinkToFit="1"/>
    </xf>
    <xf numFmtId="0" fontId="19" fillId="0" borderId="8" xfId="7" applyFont="1" applyBorder="1" applyAlignment="1">
      <alignment horizontal="center" vertical="center"/>
    </xf>
    <xf numFmtId="0" fontId="19" fillId="0" borderId="1" xfId="7" applyFont="1" applyBorder="1" applyAlignment="1">
      <alignment horizontal="center" vertical="center"/>
    </xf>
    <xf numFmtId="0" fontId="19" fillId="0" borderId="7" xfId="7" applyFont="1" applyBorder="1" applyAlignment="1">
      <alignment horizontal="center" vertical="center"/>
    </xf>
    <xf numFmtId="0" fontId="19" fillId="0" borderId="8" xfId="7" applyFont="1" applyBorder="1" applyAlignment="1">
      <alignment horizontal="left" vertical="top" wrapText="1"/>
    </xf>
    <xf numFmtId="0" fontId="19" fillId="0" borderId="1" xfId="7" applyFont="1" applyBorder="1" applyAlignment="1">
      <alignment horizontal="left" vertical="top" wrapText="1"/>
    </xf>
    <xf numFmtId="0" fontId="19" fillId="0" borderId="7" xfId="7" applyFont="1" applyBorder="1" applyAlignment="1">
      <alignment horizontal="left" vertical="top" wrapText="1"/>
    </xf>
    <xf numFmtId="0" fontId="19" fillId="0" borderId="6" xfId="7" applyFont="1" applyBorder="1" applyAlignment="1">
      <alignment horizontal="left" vertical="top" wrapText="1"/>
    </xf>
    <xf numFmtId="0" fontId="19" fillId="0" borderId="5" xfId="7" applyFont="1" applyBorder="1" applyAlignment="1">
      <alignment horizontal="left" vertical="top" wrapText="1"/>
    </xf>
    <xf numFmtId="0" fontId="19" fillId="0" borderId="4" xfId="7" applyFont="1" applyBorder="1" applyAlignment="1">
      <alignment horizontal="left" vertical="top" wrapText="1"/>
    </xf>
    <xf numFmtId="0" fontId="19" fillId="0" borderId="30" xfId="7" applyFont="1" applyBorder="1" applyAlignment="1">
      <alignment horizontal="center" vertical="center" shrinkToFit="1"/>
    </xf>
    <xf numFmtId="0" fontId="19" fillId="0" borderId="27" xfId="7" applyFont="1" applyBorder="1" applyAlignment="1">
      <alignment horizontal="center" vertical="center" shrinkToFit="1"/>
    </xf>
    <xf numFmtId="20" fontId="20" fillId="0" borderId="5" xfId="7" applyNumberFormat="1" applyFont="1" applyBorder="1" applyAlignment="1">
      <alignment horizontal="center" vertical="center" wrapText="1"/>
    </xf>
    <xf numFmtId="0" fontId="20" fillId="0" borderId="5" xfId="7" applyFont="1" applyBorder="1" applyAlignment="1">
      <alignment horizontal="center" vertical="center" wrapText="1"/>
    </xf>
    <xf numFmtId="0" fontId="20" fillId="0" borderId="4" xfId="7" applyFont="1" applyBorder="1" applyAlignment="1">
      <alignment horizontal="center" vertical="center" wrapText="1"/>
    </xf>
    <xf numFmtId="0" fontId="21" fillId="0" borderId="5" xfId="4" applyFont="1" applyFill="1" applyBorder="1" applyAlignment="1">
      <alignment horizontal="center" vertical="center"/>
    </xf>
    <xf numFmtId="0" fontId="21" fillId="0" borderId="1" xfId="4" applyFont="1" applyFill="1" applyBorder="1" applyAlignment="1">
      <alignment horizontal="center" vertical="center"/>
    </xf>
    <xf numFmtId="0" fontId="19" fillId="0" borderId="37" xfId="1" applyFont="1" applyBorder="1" applyAlignment="1">
      <alignment horizontal="center" vertical="center" wrapText="1"/>
    </xf>
    <xf numFmtId="0" fontId="19" fillId="0" borderId="36" xfId="1" applyFont="1" applyBorder="1" applyAlignment="1">
      <alignment horizontal="center" vertical="center" wrapText="1"/>
    </xf>
    <xf numFmtId="0" fontId="19" fillId="0" borderId="34" xfId="1" applyFont="1" applyBorder="1" applyAlignment="1">
      <alignment horizontal="center" vertical="center" wrapText="1"/>
    </xf>
    <xf numFmtId="0" fontId="19" fillId="0" borderId="21" xfId="1" applyFont="1" applyBorder="1" applyAlignment="1">
      <alignment horizontal="center" vertical="center" wrapText="1"/>
    </xf>
    <xf numFmtId="0" fontId="9" fillId="0" borderId="6" xfId="1" applyFont="1" applyFill="1" applyBorder="1" applyAlignment="1">
      <alignment horizontal="left" vertical="center"/>
    </xf>
    <xf numFmtId="14" fontId="19" fillId="0" borderId="3" xfId="7" applyNumberFormat="1" applyFont="1" applyBorder="1" applyAlignment="1">
      <alignment horizontal="center" vertical="center"/>
    </xf>
    <xf numFmtId="14" fontId="19" fillId="0" borderId="24" xfId="7" applyNumberFormat="1" applyFont="1" applyBorder="1" applyAlignment="1">
      <alignment horizontal="center" vertical="center"/>
    </xf>
    <xf numFmtId="14" fontId="19" fillId="0" borderId="25" xfId="7" applyNumberFormat="1" applyFont="1" applyBorder="1" applyAlignment="1">
      <alignment horizontal="center" vertical="center"/>
    </xf>
    <xf numFmtId="0" fontId="19" fillId="0" borderId="25" xfId="7" applyNumberFormat="1" applyFont="1" applyBorder="1" applyAlignment="1">
      <alignment horizontal="center" vertical="center"/>
    </xf>
    <xf numFmtId="0" fontId="19" fillId="0" borderId="3" xfId="7" applyNumberFormat="1" applyFont="1" applyBorder="1" applyAlignment="1">
      <alignment horizontal="center" vertical="center"/>
    </xf>
    <xf numFmtId="0" fontId="19" fillId="0" borderId="24" xfId="7" applyNumberFormat="1" applyFont="1" applyBorder="1" applyAlignment="1">
      <alignment horizontal="center" vertical="center"/>
    </xf>
    <xf numFmtId="0" fontId="19" fillId="0" borderId="8" xfId="7" applyNumberFormat="1" applyFont="1" applyBorder="1" applyAlignment="1">
      <alignment horizontal="center" vertical="center" wrapText="1"/>
    </xf>
    <xf numFmtId="0" fontId="19" fillId="0" borderId="1" xfId="7" applyNumberFormat="1" applyFont="1" applyBorder="1" applyAlignment="1">
      <alignment horizontal="center" vertical="center" wrapText="1"/>
    </xf>
    <xf numFmtId="0" fontId="19" fillId="0" borderId="39" xfId="7" applyNumberFormat="1" applyFont="1" applyBorder="1" applyAlignment="1">
      <alignment horizontal="center" vertical="center" wrapText="1"/>
    </xf>
    <xf numFmtId="0" fontId="19" fillId="0" borderId="6" xfId="7" applyNumberFormat="1" applyFont="1" applyBorder="1" applyAlignment="1">
      <alignment horizontal="center" vertical="center" wrapText="1"/>
    </xf>
    <xf numFmtId="0" fontId="19" fillId="0" borderId="5" xfId="7" applyNumberFormat="1" applyFont="1" applyBorder="1" applyAlignment="1">
      <alignment horizontal="center" vertical="center" wrapText="1"/>
    </xf>
    <xf numFmtId="0" fontId="19" fillId="0" borderId="31" xfId="7" applyNumberFormat="1" applyFont="1" applyBorder="1" applyAlignment="1">
      <alignment horizontal="center" vertical="center" wrapText="1"/>
    </xf>
    <xf numFmtId="0" fontId="19" fillId="0" borderId="40" xfId="7" applyFont="1" applyBorder="1" applyAlignment="1">
      <alignment horizontal="center" vertical="center" shrinkToFit="1"/>
    </xf>
    <xf numFmtId="0" fontId="19" fillId="0" borderId="38" xfId="7" applyFont="1" applyBorder="1" applyAlignment="1">
      <alignment horizontal="center" vertical="center" shrinkToFit="1"/>
    </xf>
    <xf numFmtId="0" fontId="19" fillId="0" borderId="20" xfId="7" applyFont="1" applyBorder="1" applyAlignment="1">
      <alignment horizontal="center" vertical="center" shrinkToFit="1"/>
    </xf>
    <xf numFmtId="0" fontId="19" fillId="0" borderId="5" xfId="7" applyFont="1" applyBorder="1" applyAlignment="1">
      <alignment horizontal="center" vertical="center" shrinkToFit="1"/>
    </xf>
    <xf numFmtId="0" fontId="19" fillId="0" borderId="31" xfId="7" applyFont="1" applyBorder="1" applyAlignment="1">
      <alignment horizontal="center" vertical="center" shrinkToFit="1"/>
    </xf>
    <xf numFmtId="0" fontId="19" fillId="0" borderId="8" xfId="7" applyFont="1" applyBorder="1" applyAlignment="1">
      <alignment horizontal="center" vertical="center" wrapText="1"/>
    </xf>
    <xf numFmtId="0" fontId="19" fillId="0" borderId="1" xfId="7" applyFont="1" applyBorder="1" applyAlignment="1">
      <alignment horizontal="center" vertical="center" wrapText="1"/>
    </xf>
    <xf numFmtId="0" fontId="19" fillId="0" borderId="39" xfId="7" applyFont="1" applyBorder="1" applyAlignment="1">
      <alignment horizontal="center" vertical="center" wrapText="1"/>
    </xf>
    <xf numFmtId="0" fontId="19" fillId="0" borderId="6" xfId="7" applyFont="1" applyBorder="1" applyAlignment="1">
      <alignment horizontal="center" vertical="center" wrapText="1"/>
    </xf>
    <xf numFmtId="0" fontId="19" fillId="0" borderId="5" xfId="7" applyFont="1" applyBorder="1" applyAlignment="1">
      <alignment horizontal="center" vertical="center" wrapText="1"/>
    </xf>
    <xf numFmtId="0" fontId="19" fillId="0" borderId="31" xfId="7" applyFont="1" applyBorder="1" applyAlignment="1">
      <alignment horizontal="center" vertical="center" wrapText="1"/>
    </xf>
    <xf numFmtId="0" fontId="19" fillId="0" borderId="28" xfId="7" applyFont="1" applyBorder="1" applyAlignment="1">
      <alignment horizontal="center" vertical="center" shrinkToFit="1"/>
    </xf>
    <xf numFmtId="0" fontId="19" fillId="0" borderId="29" xfId="7" applyFont="1" applyBorder="1" applyAlignment="1">
      <alignment horizontal="center" vertical="center" shrinkToFit="1"/>
    </xf>
    <xf numFmtId="14" fontId="19" fillId="0" borderId="8" xfId="7" applyNumberFormat="1" applyFont="1" applyBorder="1" applyAlignment="1">
      <alignment horizontal="center" vertical="center"/>
    </xf>
    <xf numFmtId="14" fontId="19" fillId="0" borderId="1" xfId="7" applyNumberFormat="1" applyFont="1" applyBorder="1" applyAlignment="1">
      <alignment horizontal="center" vertical="center"/>
    </xf>
    <xf numFmtId="14" fontId="19" fillId="0" borderId="7" xfId="7" applyNumberFormat="1" applyFont="1" applyBorder="1" applyAlignment="1">
      <alignment horizontal="center" vertical="center"/>
    </xf>
    <xf numFmtId="14" fontId="19" fillId="0" borderId="6" xfId="7" applyNumberFormat="1" applyFont="1" applyBorder="1" applyAlignment="1">
      <alignment horizontal="center" vertical="center"/>
    </xf>
    <xf numFmtId="14" fontId="19" fillId="0" borderId="5" xfId="7" applyNumberFormat="1" applyFont="1" applyBorder="1" applyAlignment="1">
      <alignment horizontal="center" vertical="center"/>
    </xf>
    <xf numFmtId="14" fontId="19" fillId="0" borderId="4" xfId="7" applyNumberFormat="1" applyFont="1" applyBorder="1" applyAlignment="1">
      <alignment horizontal="center" vertical="center"/>
    </xf>
    <xf numFmtId="0" fontId="19" fillId="0" borderId="8" xfId="7" applyFont="1" applyBorder="1" applyAlignment="1">
      <alignment horizontal="center" vertical="top" wrapText="1"/>
    </xf>
    <xf numFmtId="0" fontId="19" fillId="0" borderId="1" xfId="7" applyFont="1" applyBorder="1" applyAlignment="1">
      <alignment horizontal="center" vertical="top" wrapText="1"/>
    </xf>
    <xf numFmtId="0" fontId="19" fillId="0" borderId="7" xfId="7" applyFont="1" applyBorder="1" applyAlignment="1">
      <alignment horizontal="center" vertical="top" wrapText="1"/>
    </xf>
    <xf numFmtId="0" fontId="9" fillId="2" borderId="35" xfId="7" applyFont="1" applyFill="1" applyBorder="1" applyAlignment="1">
      <alignment horizontal="center" vertical="center" shrinkToFit="1"/>
    </xf>
    <xf numFmtId="0" fontId="9" fillId="2" borderId="34" xfId="7" applyFont="1" applyFill="1" applyBorder="1" applyAlignment="1">
      <alignment horizontal="center" vertical="center" shrinkToFit="1"/>
    </xf>
    <xf numFmtId="0" fontId="9" fillId="2" borderId="38" xfId="7" applyFont="1" applyFill="1" applyBorder="1" applyAlignment="1">
      <alignment horizontal="center" vertical="center" shrinkToFit="1"/>
    </xf>
    <xf numFmtId="0" fontId="9" fillId="2" borderId="37" xfId="7" applyFont="1" applyFill="1" applyBorder="1" applyAlignment="1">
      <alignment horizontal="center" vertical="center" shrinkToFit="1"/>
    </xf>
    <xf numFmtId="0" fontId="19" fillId="0" borderId="37" xfId="7" applyFont="1" applyBorder="1" applyAlignment="1">
      <alignment horizontal="center" vertical="center" wrapText="1"/>
    </xf>
    <xf numFmtId="0" fontId="19" fillId="0" borderId="36" xfId="7" applyFont="1" applyBorder="1" applyAlignment="1">
      <alignment horizontal="center" vertical="center" wrapText="1"/>
    </xf>
    <xf numFmtId="0" fontId="19" fillId="0" borderId="34" xfId="7" applyFont="1" applyBorder="1" applyAlignment="1">
      <alignment horizontal="center" vertical="center" wrapText="1"/>
    </xf>
    <xf numFmtId="0" fontId="19" fillId="0" borderId="21" xfId="7" applyFont="1" applyBorder="1" applyAlignment="1">
      <alignment horizontal="center" vertical="center" wrapText="1"/>
    </xf>
    <xf numFmtId="0" fontId="9" fillId="0" borderId="6" xfId="7" applyFont="1" applyFill="1" applyBorder="1" applyAlignment="1">
      <alignment horizontal="left" vertical="center"/>
    </xf>
    <xf numFmtId="0" fontId="9" fillId="0" borderId="4" xfId="7" applyFont="1" applyFill="1" applyBorder="1" applyAlignment="1">
      <alignment horizontal="left" vertical="center"/>
    </xf>
    <xf numFmtId="0" fontId="17" fillId="4" borderId="0" xfId="7" applyFont="1" applyFill="1" applyAlignment="1">
      <alignment horizontal="center" vertical="center"/>
    </xf>
    <xf numFmtId="0" fontId="9" fillId="5" borderId="1" xfId="7" applyFont="1" applyFill="1" applyBorder="1" applyAlignment="1">
      <alignment horizontal="left" vertical="top" wrapText="1"/>
    </xf>
    <xf numFmtId="0" fontId="9" fillId="5" borderId="7" xfId="7" applyFont="1" applyFill="1" applyBorder="1" applyAlignment="1">
      <alignment horizontal="left" vertical="top" wrapText="1"/>
    </xf>
    <xf numFmtId="0" fontId="9" fillId="5" borderId="0" xfId="7" applyFont="1" applyFill="1" applyBorder="1" applyAlignment="1">
      <alignment horizontal="left" vertical="top" wrapText="1"/>
    </xf>
    <xf numFmtId="0" fontId="9" fillId="5" borderId="9" xfId="7" applyFont="1" applyFill="1" applyBorder="1" applyAlignment="1">
      <alignment horizontal="left" vertical="top" wrapText="1"/>
    </xf>
    <xf numFmtId="0" fontId="9" fillId="5" borderId="5" xfId="7" applyFont="1" applyFill="1" applyBorder="1" applyAlignment="1">
      <alignment horizontal="left" vertical="top" wrapText="1"/>
    </xf>
    <xf numFmtId="0" fontId="9" fillId="5" borderId="4" xfId="7" applyFont="1" applyFill="1" applyBorder="1" applyAlignment="1">
      <alignment horizontal="left" vertical="top" wrapText="1"/>
    </xf>
    <xf numFmtId="0" fontId="9" fillId="2" borderId="41" xfId="7" applyFont="1" applyFill="1" applyBorder="1" applyAlignment="1">
      <alignment horizontal="center" vertical="center" wrapText="1"/>
    </xf>
    <xf numFmtId="0" fontId="9" fillId="2" borderId="39" xfId="7" applyFont="1" applyFill="1" applyBorder="1" applyAlignment="1">
      <alignment horizontal="center" vertical="center" wrapText="1"/>
    </xf>
    <xf numFmtId="0" fontId="9" fillId="2" borderId="20" xfId="7" applyFont="1" applyFill="1" applyBorder="1" applyAlignment="1">
      <alignment horizontal="center" vertical="center" wrapText="1"/>
    </xf>
    <xf numFmtId="0" fontId="9" fillId="2" borderId="31" xfId="7" applyFont="1" applyFill="1" applyBorder="1" applyAlignment="1">
      <alignment horizontal="center" vertical="center" wrapText="1"/>
    </xf>
    <xf numFmtId="0" fontId="9" fillId="0" borderId="40" xfId="7" applyFont="1" applyBorder="1" applyAlignment="1">
      <alignment horizontal="center" vertical="center"/>
    </xf>
    <xf numFmtId="0" fontId="9" fillId="0" borderId="27" xfId="7" applyFont="1" applyBorder="1" applyAlignment="1">
      <alignment horizontal="center" vertical="center"/>
    </xf>
    <xf numFmtId="0" fontId="9" fillId="2" borderId="23" xfId="7" applyFont="1" applyFill="1" applyBorder="1" applyAlignment="1">
      <alignment horizontal="center" vertical="center"/>
    </xf>
    <xf numFmtId="0" fontId="9" fillId="2" borderId="10" xfId="7" applyFont="1" applyFill="1" applyBorder="1" applyAlignment="1">
      <alignment horizontal="center" vertical="center"/>
    </xf>
    <xf numFmtId="0" fontId="9" fillId="2" borderId="16" xfId="7" applyFont="1" applyFill="1" applyBorder="1" applyAlignment="1">
      <alignment horizontal="center" vertical="center"/>
    </xf>
    <xf numFmtId="0" fontId="9" fillId="2" borderId="15" xfId="7" applyFont="1" applyFill="1" applyBorder="1" applyAlignment="1">
      <alignment horizontal="center" vertical="center"/>
    </xf>
    <xf numFmtId="0" fontId="9" fillId="2" borderId="22" xfId="7" applyFont="1" applyFill="1" applyBorder="1" applyAlignment="1">
      <alignment horizontal="center" vertical="center"/>
    </xf>
    <xf numFmtId="14" fontId="9" fillId="0" borderId="44" xfId="7" applyNumberFormat="1" applyFont="1" applyBorder="1" applyAlignment="1">
      <alignment horizontal="center" vertical="center"/>
    </xf>
    <xf numFmtId="14" fontId="9" fillId="0" borderId="45" xfId="7" applyNumberFormat="1" applyFont="1" applyBorder="1" applyAlignment="1">
      <alignment horizontal="center" vertical="center"/>
    </xf>
    <xf numFmtId="14" fontId="9" fillId="0" borderId="46" xfId="7" applyNumberFormat="1" applyFont="1" applyBorder="1" applyAlignment="1">
      <alignment horizontal="center" vertical="center"/>
    </xf>
    <xf numFmtId="0" fontId="9" fillId="0" borderId="16" xfId="7" applyFont="1" applyBorder="1" applyAlignment="1">
      <alignment horizontal="center" vertical="center" wrapText="1"/>
    </xf>
    <xf numFmtId="0" fontId="9" fillId="0" borderId="15" xfId="7" applyFont="1" applyBorder="1" applyAlignment="1">
      <alignment horizontal="center" vertical="center" wrapText="1"/>
    </xf>
    <xf numFmtId="0" fontId="9" fillId="0" borderId="14" xfId="7" applyFont="1" applyBorder="1" applyAlignment="1">
      <alignment horizontal="center" vertical="center" wrapText="1"/>
    </xf>
    <xf numFmtId="0" fontId="9" fillId="0" borderId="7" xfId="7" applyFont="1" applyBorder="1" applyAlignment="1">
      <alignment horizontal="center" vertical="center" wrapText="1"/>
    </xf>
    <xf numFmtId="0" fontId="9" fillId="0" borderId="2" xfId="7" applyFont="1" applyBorder="1" applyAlignment="1">
      <alignment horizontal="center" vertical="center" wrapText="1"/>
    </xf>
    <xf numFmtId="0" fontId="9" fillId="0" borderId="0" xfId="7" applyFont="1" applyBorder="1" applyAlignment="1">
      <alignment horizontal="center" vertical="center" wrapText="1"/>
    </xf>
    <xf numFmtId="0" fontId="9" fillId="0" borderId="9" xfId="7" applyFont="1" applyBorder="1" applyAlignment="1">
      <alignment horizontal="center" vertical="center" wrapText="1"/>
    </xf>
    <xf numFmtId="0" fontId="9" fillId="0" borderId="4" xfId="7" applyFont="1" applyBorder="1" applyAlignment="1">
      <alignment horizontal="center" vertical="center" wrapText="1"/>
    </xf>
    <xf numFmtId="0" fontId="9" fillId="0" borderId="44" xfId="7" applyFont="1" applyBorder="1" applyAlignment="1">
      <alignment horizontal="center" vertical="center" wrapText="1"/>
    </xf>
    <xf numFmtId="0" fontId="9" fillId="0" borderId="45" xfId="7" applyFont="1" applyBorder="1" applyAlignment="1">
      <alignment horizontal="center" vertical="center" wrapText="1"/>
    </xf>
    <xf numFmtId="0" fontId="9" fillId="0" borderId="46" xfId="7" applyFont="1" applyBorder="1" applyAlignment="1">
      <alignment horizontal="center" vertical="center" wrapText="1"/>
    </xf>
    <xf numFmtId="0" fontId="9" fillId="0" borderId="16" xfId="7" applyFont="1" applyBorder="1" applyAlignment="1">
      <alignment horizontal="left" vertical="top" wrapText="1"/>
    </xf>
    <xf numFmtId="0" fontId="9" fillId="0" borderId="15" xfId="7" applyFont="1" applyBorder="1" applyAlignment="1">
      <alignment horizontal="left" vertical="top" wrapText="1"/>
    </xf>
    <xf numFmtId="0" fontId="9" fillId="0" borderId="14" xfId="7" applyFont="1" applyBorder="1" applyAlignment="1">
      <alignment horizontal="left" vertical="top" wrapText="1"/>
    </xf>
    <xf numFmtId="176" fontId="9" fillId="0" borderId="43" xfId="7" applyNumberFormat="1" applyFont="1" applyBorder="1" applyAlignment="1">
      <alignment horizontal="center" vertical="center" wrapText="1"/>
    </xf>
    <xf numFmtId="176" fontId="9" fillId="0" borderId="42" xfId="7" applyNumberFormat="1" applyFont="1" applyBorder="1" applyAlignment="1">
      <alignment horizontal="center" vertical="center" wrapText="1"/>
    </xf>
    <xf numFmtId="176" fontId="9" fillId="0" borderId="47" xfId="7" applyNumberFormat="1" applyFont="1" applyBorder="1" applyAlignment="1">
      <alignment horizontal="center" vertical="center" wrapText="1"/>
    </xf>
    <xf numFmtId="0" fontId="9" fillId="0" borderId="44" xfId="7" applyFont="1" applyBorder="1" applyAlignment="1">
      <alignment horizontal="left" vertical="top" wrapText="1"/>
    </xf>
    <xf numFmtId="0" fontId="9" fillId="0" borderId="45" xfId="7" applyFont="1" applyBorder="1" applyAlignment="1">
      <alignment horizontal="left" vertical="top" wrapText="1"/>
    </xf>
    <xf numFmtId="0" fontId="9" fillId="0" borderId="46" xfId="7" applyFont="1" applyBorder="1" applyAlignment="1">
      <alignment horizontal="left" vertical="top" wrapText="1"/>
    </xf>
    <xf numFmtId="14" fontId="9" fillId="0" borderId="2" xfId="7" applyNumberFormat="1" applyFont="1" applyBorder="1" applyAlignment="1">
      <alignment horizontal="center" vertical="center"/>
    </xf>
    <xf numFmtId="14" fontId="9" fillId="0" borderId="0" xfId="7" applyNumberFormat="1" applyFont="1" applyBorder="1" applyAlignment="1">
      <alignment horizontal="center" vertical="center"/>
    </xf>
    <xf numFmtId="14" fontId="9" fillId="0" borderId="9" xfId="7" applyNumberFormat="1" applyFont="1" applyBorder="1" applyAlignment="1">
      <alignment horizontal="center" vertical="center"/>
    </xf>
    <xf numFmtId="176" fontId="9" fillId="0" borderId="30" xfId="7" applyNumberFormat="1" applyFont="1" applyBorder="1" applyAlignment="1">
      <alignment horizontal="center" vertical="center" wrapText="1"/>
    </xf>
    <xf numFmtId="176" fontId="9" fillId="0" borderId="27" xfId="7" applyNumberFormat="1" applyFont="1" applyBorder="1" applyAlignment="1">
      <alignment horizontal="center" vertical="center" wrapText="1"/>
    </xf>
    <xf numFmtId="0" fontId="9" fillId="0" borderId="43" xfId="7" applyFont="1" applyBorder="1" applyAlignment="1">
      <alignment horizontal="left" vertical="top" wrapText="1"/>
    </xf>
    <xf numFmtId="0" fontId="9" fillId="0" borderId="42" xfId="7" applyFont="1" applyBorder="1" applyAlignment="1">
      <alignment horizontal="left" vertical="top" wrapText="1"/>
    </xf>
    <xf numFmtId="0" fontId="9" fillId="0" borderId="47" xfId="7" applyFont="1" applyBorder="1" applyAlignment="1">
      <alignment horizontal="left" vertical="top" wrapText="1"/>
    </xf>
    <xf numFmtId="0" fontId="7" fillId="0" borderId="6" xfId="7" applyFont="1" applyFill="1" applyBorder="1" applyAlignment="1">
      <alignment horizontal="left" vertical="center"/>
    </xf>
    <xf numFmtId="0" fontId="7" fillId="0" borderId="5" xfId="7" applyFont="1" applyFill="1" applyBorder="1" applyAlignment="1">
      <alignment horizontal="left" vertical="center"/>
    </xf>
    <xf numFmtId="0" fontId="7" fillId="0" borderId="4" xfId="7" applyFont="1" applyFill="1" applyBorder="1" applyAlignment="1">
      <alignment horizontal="left" vertical="center"/>
    </xf>
    <xf numFmtId="0" fontId="9" fillId="0" borderId="13" xfId="7" applyFont="1" applyBorder="1" applyAlignment="1">
      <alignment horizontal="center" vertical="top" wrapText="1"/>
    </xf>
    <xf numFmtId="0" fontId="9" fillId="0" borderId="12" xfId="7" applyFont="1" applyBorder="1" applyAlignment="1">
      <alignment horizontal="center" vertical="top" wrapText="1"/>
    </xf>
    <xf numFmtId="0" fontId="9" fillId="0" borderId="11" xfId="7" applyFont="1" applyBorder="1" applyAlignment="1">
      <alignment horizontal="center" vertical="top" wrapText="1"/>
    </xf>
    <xf numFmtId="0" fontId="9" fillId="0" borderId="16" xfId="7" applyFont="1" applyBorder="1" applyAlignment="1">
      <alignment horizontal="left" vertical="center"/>
    </xf>
    <xf numFmtId="0" fontId="9" fillId="0" borderId="14" xfId="7" applyFont="1" applyBorder="1" applyAlignment="1">
      <alignment horizontal="left" vertical="center"/>
    </xf>
    <xf numFmtId="0" fontId="9" fillId="0" borderId="48" xfId="7" applyFont="1" applyBorder="1" applyAlignment="1">
      <alignment horizontal="center" vertical="center"/>
    </xf>
    <xf numFmtId="0" fontId="9" fillId="0" borderId="50" xfId="7" applyFont="1" applyBorder="1" applyAlignment="1">
      <alignment horizontal="center" vertical="center"/>
    </xf>
    <xf numFmtId="0" fontId="9" fillId="0" borderId="53" xfId="7" applyFont="1" applyBorder="1" applyAlignment="1">
      <alignment horizontal="center" vertical="center"/>
    </xf>
    <xf numFmtId="0" fontId="9" fillId="0" borderId="49" xfId="10" applyFont="1" applyBorder="1" applyAlignment="1">
      <alignment horizontal="center" vertical="center"/>
    </xf>
    <xf numFmtId="0" fontId="9" fillId="0" borderId="12" xfId="10" applyFont="1" applyBorder="1" applyAlignment="1">
      <alignment horizontal="center" vertical="center"/>
    </xf>
    <xf numFmtId="0" fontId="9" fillId="0" borderId="12" xfId="10" applyFont="1" applyBorder="1" applyAlignment="1">
      <alignment horizontal="left" vertical="center"/>
    </xf>
    <xf numFmtId="0" fontId="9" fillId="0" borderId="11" xfId="10" applyFont="1" applyBorder="1" applyAlignment="1">
      <alignment horizontal="left" vertical="center"/>
    </xf>
    <xf numFmtId="0" fontId="9" fillId="0" borderId="49" xfId="7" applyFont="1" applyBorder="1" applyAlignment="1">
      <alignment horizontal="left" vertical="center" wrapText="1"/>
    </xf>
    <xf numFmtId="0" fontId="9" fillId="0" borderId="12" xfId="7" applyFont="1" applyBorder="1" applyAlignment="1">
      <alignment horizontal="left" vertical="center" wrapText="1"/>
    </xf>
    <xf numFmtId="0" fontId="9" fillId="0" borderId="11" xfId="7" applyFont="1" applyBorder="1" applyAlignment="1">
      <alignment horizontal="left" vertical="center" wrapText="1"/>
    </xf>
    <xf numFmtId="0" fontId="9" fillId="0" borderId="51" xfId="7" applyFont="1" applyBorder="1" applyAlignment="1">
      <alignment horizontal="left" vertical="center" wrapText="1"/>
    </xf>
    <xf numFmtId="0" fontId="9" fillId="0" borderId="0" xfId="7" applyFont="1" applyBorder="1" applyAlignment="1">
      <alignment horizontal="left" vertical="center" wrapText="1"/>
    </xf>
    <xf numFmtId="0" fontId="9" fillId="0" borderId="9" xfId="7" applyFont="1" applyBorder="1" applyAlignment="1">
      <alignment horizontal="left" vertical="center" wrapText="1"/>
    </xf>
    <xf numFmtId="0" fontId="9" fillId="0" borderId="52" xfId="7" applyFont="1" applyBorder="1" applyAlignment="1">
      <alignment horizontal="left" vertical="center" wrapText="1"/>
    </xf>
    <xf numFmtId="0" fontId="9" fillId="0" borderId="45" xfId="7" applyFont="1" applyBorder="1" applyAlignment="1">
      <alignment horizontal="left" vertical="center" wrapText="1"/>
    </xf>
    <xf numFmtId="0" fontId="9" fillId="0" borderId="46" xfId="7" applyFont="1" applyBorder="1" applyAlignment="1">
      <alignment horizontal="left" vertical="center" wrapText="1"/>
    </xf>
    <xf numFmtId="0" fontId="9" fillId="0" borderId="0" xfId="7" applyFont="1" applyBorder="1" applyAlignment="1">
      <alignment horizontal="left" vertical="center"/>
    </xf>
    <xf numFmtId="0" fontId="9" fillId="0" borderId="9" xfId="7" applyFont="1" applyBorder="1" applyAlignment="1">
      <alignment horizontal="left" vertical="center"/>
    </xf>
    <xf numFmtId="0" fontId="9" fillId="0" borderId="51" xfId="10" applyFont="1" applyBorder="1" applyAlignment="1">
      <alignment horizontal="center" vertical="center"/>
    </xf>
    <xf numFmtId="0" fontId="9" fillId="0" borderId="0" xfId="10" applyFont="1" applyBorder="1" applyAlignment="1">
      <alignment horizontal="center" vertical="center"/>
    </xf>
    <xf numFmtId="0" fontId="9" fillId="0" borderId="0" xfId="10" applyFont="1" applyBorder="1" applyAlignment="1">
      <alignment horizontal="left" vertical="center"/>
    </xf>
    <xf numFmtId="0" fontId="9" fillId="0" borderId="9" xfId="10" applyFont="1" applyBorder="1" applyAlignment="1">
      <alignment horizontal="left" vertical="center"/>
    </xf>
    <xf numFmtId="0" fontId="19" fillId="0" borderId="2" xfId="7" applyFont="1" applyBorder="1" applyAlignment="1">
      <alignment horizontal="left" vertical="top" wrapText="1"/>
    </xf>
    <xf numFmtId="0" fontId="19" fillId="0" borderId="0" xfId="7" applyFont="1" applyBorder="1" applyAlignment="1">
      <alignment horizontal="left" vertical="top" wrapText="1"/>
    </xf>
    <xf numFmtId="0" fontId="19" fillId="0" borderId="9" xfId="7" applyFont="1" applyBorder="1" applyAlignment="1">
      <alignment horizontal="left" vertical="top" wrapText="1"/>
    </xf>
    <xf numFmtId="14" fontId="19" fillId="0" borderId="44" xfId="7" applyNumberFormat="1" applyFont="1" applyBorder="1" applyAlignment="1">
      <alignment horizontal="center" vertical="center"/>
    </xf>
    <xf numFmtId="14" fontId="19" fillId="0" borderId="45" xfId="7" applyNumberFormat="1" applyFont="1" applyBorder="1" applyAlignment="1">
      <alignment horizontal="center" vertical="center"/>
    </xf>
    <xf numFmtId="14" fontId="19" fillId="0" borderId="46" xfId="7" applyNumberFormat="1" applyFont="1" applyBorder="1" applyAlignment="1">
      <alignment horizontal="center" vertical="center"/>
    </xf>
    <xf numFmtId="0" fontId="19" fillId="0" borderId="16" xfId="7" applyFont="1" applyBorder="1" applyAlignment="1">
      <alignment horizontal="center" vertical="center" wrapText="1"/>
    </xf>
    <xf numFmtId="0" fontId="19" fillId="0" borderId="15" xfId="7" applyFont="1" applyBorder="1" applyAlignment="1">
      <alignment horizontal="center" vertical="center" wrapText="1"/>
    </xf>
    <xf numFmtId="0" fontId="19" fillId="0" borderId="14" xfId="7" applyFont="1" applyBorder="1" applyAlignment="1">
      <alignment horizontal="center" vertical="center" wrapText="1"/>
    </xf>
    <xf numFmtId="0" fontId="19" fillId="0" borderId="7" xfId="7" applyFont="1" applyBorder="1" applyAlignment="1">
      <alignment horizontal="center" vertical="center" wrapText="1"/>
    </xf>
    <xf numFmtId="0" fontId="19" fillId="0" borderId="2" xfId="7" applyFont="1" applyBorder="1" applyAlignment="1">
      <alignment horizontal="center" vertical="center" wrapText="1"/>
    </xf>
    <xf numFmtId="0" fontId="19" fillId="0" borderId="0" xfId="7" applyFont="1" applyBorder="1" applyAlignment="1">
      <alignment horizontal="center" vertical="center" wrapText="1"/>
    </xf>
    <xf numFmtId="0" fontId="19" fillId="0" borderId="9" xfId="7" applyFont="1" applyBorder="1" applyAlignment="1">
      <alignment horizontal="center" vertical="center" wrapText="1"/>
    </xf>
    <xf numFmtId="0" fontId="19" fillId="0" borderId="4" xfId="7" applyFont="1" applyBorder="1" applyAlignment="1">
      <alignment horizontal="center" vertical="center" wrapText="1"/>
    </xf>
    <xf numFmtId="0" fontId="19" fillId="0" borderId="44" xfId="7" applyFont="1" applyBorder="1" applyAlignment="1">
      <alignment horizontal="center" vertical="center" wrapText="1"/>
    </xf>
    <xf numFmtId="0" fontId="19" fillId="0" borderId="45" xfId="7" applyFont="1" applyBorder="1" applyAlignment="1">
      <alignment horizontal="center" vertical="center" wrapText="1"/>
    </xf>
    <xf numFmtId="0" fontId="19" fillId="0" borderId="46" xfId="7" applyFont="1" applyBorder="1" applyAlignment="1">
      <alignment horizontal="center" vertical="center" wrapText="1"/>
    </xf>
    <xf numFmtId="0" fontId="19" fillId="0" borderId="16" xfId="7" applyFont="1" applyBorder="1" applyAlignment="1">
      <alignment horizontal="left" vertical="top" wrapText="1"/>
    </xf>
    <xf numFmtId="0" fontId="19" fillId="0" borderId="15" xfId="7" applyFont="1" applyBorder="1" applyAlignment="1">
      <alignment horizontal="left" vertical="top" wrapText="1"/>
    </xf>
    <xf numFmtId="0" fontId="19" fillId="0" borderId="14" xfId="7" applyFont="1" applyBorder="1" applyAlignment="1">
      <alignment horizontal="left" vertical="top" wrapText="1"/>
    </xf>
    <xf numFmtId="176" fontId="19" fillId="0" borderId="43" xfId="7" applyNumberFormat="1" applyFont="1" applyBorder="1" applyAlignment="1">
      <alignment horizontal="center" vertical="center" wrapText="1"/>
    </xf>
    <xf numFmtId="176" fontId="19" fillId="0" borderId="42" xfId="7" applyNumberFormat="1" applyFont="1" applyBorder="1" applyAlignment="1">
      <alignment horizontal="center" vertical="center" wrapText="1"/>
    </xf>
    <xf numFmtId="176" fontId="19" fillId="0" borderId="47" xfId="7" applyNumberFormat="1" applyFont="1" applyBorder="1" applyAlignment="1">
      <alignment horizontal="center" vertical="center" wrapText="1"/>
    </xf>
    <xf numFmtId="0" fontId="19" fillId="0" borderId="44" xfId="7" applyFont="1" applyBorder="1" applyAlignment="1">
      <alignment horizontal="left" vertical="top" wrapText="1"/>
    </xf>
    <xf numFmtId="0" fontId="19" fillId="0" borderId="45" xfId="7" applyFont="1" applyBorder="1" applyAlignment="1">
      <alignment horizontal="left" vertical="top" wrapText="1"/>
    </xf>
    <xf numFmtId="0" fontId="19" fillId="0" borderId="46" xfId="7" applyFont="1" applyBorder="1" applyAlignment="1">
      <alignment horizontal="left" vertical="top" wrapText="1"/>
    </xf>
    <xf numFmtId="14" fontId="19" fillId="0" borderId="2" xfId="7" applyNumberFormat="1" applyFont="1" applyBorder="1" applyAlignment="1">
      <alignment horizontal="center" vertical="center"/>
    </xf>
    <xf numFmtId="14" fontId="19" fillId="0" borderId="0" xfId="7" applyNumberFormat="1" applyFont="1" applyBorder="1" applyAlignment="1">
      <alignment horizontal="center" vertical="center"/>
    </xf>
    <xf numFmtId="14" fontId="19" fillId="0" borderId="9" xfId="7" applyNumberFormat="1" applyFont="1" applyBorder="1" applyAlignment="1">
      <alignment horizontal="center" vertical="center"/>
    </xf>
    <xf numFmtId="176" fontId="19" fillId="0" borderId="30" xfId="7" applyNumberFormat="1" applyFont="1" applyBorder="1" applyAlignment="1">
      <alignment horizontal="center" vertical="center" wrapText="1"/>
    </xf>
    <xf numFmtId="176" fontId="19" fillId="0" borderId="27" xfId="7" applyNumberFormat="1" applyFont="1" applyBorder="1" applyAlignment="1">
      <alignment horizontal="center" vertical="center" wrapText="1"/>
    </xf>
    <xf numFmtId="0" fontId="19" fillId="0" borderId="43" xfId="7" applyFont="1" applyBorder="1" applyAlignment="1">
      <alignment horizontal="left" vertical="top" wrapText="1"/>
    </xf>
    <xf numFmtId="0" fontId="19" fillId="0" borderId="42" xfId="7" applyFont="1" applyBorder="1" applyAlignment="1">
      <alignment horizontal="left" vertical="top" wrapText="1"/>
    </xf>
    <xf numFmtId="0" fontId="19" fillId="0" borderId="47" xfId="7" applyFont="1" applyBorder="1" applyAlignment="1">
      <alignment horizontal="left" vertical="top" wrapText="1"/>
    </xf>
    <xf numFmtId="0" fontId="19" fillId="0" borderId="3" xfId="7" applyFont="1" applyBorder="1" applyAlignment="1">
      <alignment horizontal="left" vertical="top" wrapText="1"/>
    </xf>
  </cellXfs>
  <cellStyles count="11">
    <cellStyle name="桁区切り 2" xfId="8"/>
    <cellStyle name="標準" xfId="0" builtinId="0"/>
    <cellStyle name="標準 2" xfId="1"/>
    <cellStyle name="標準 2 2" xfId="7"/>
    <cellStyle name="標準 2 2 2" xfId="5"/>
    <cellStyle name="標準 2 2 3" xfId="2"/>
    <cellStyle name="標準 2 3" xfId="9"/>
    <cellStyle name="標準 2 4" xfId="10"/>
    <cellStyle name="標準 3" xfId="4"/>
    <cellStyle name="標準 3_近距離旅費明細書兼請求書(案)" xfId="3"/>
    <cellStyle name="標準 4"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checked="Checked"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checked="Checked"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checked="Checked"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checked="Checked"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checked="Checked"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39</xdr:col>
          <xdr:colOff>45720</xdr:colOff>
          <xdr:row>11</xdr:row>
          <xdr:rowOff>228600</xdr:rowOff>
        </xdr:from>
        <xdr:to>
          <xdr:col>40</xdr:col>
          <xdr:colOff>121920</xdr:colOff>
          <xdr:row>13</xdr:row>
          <xdr:rowOff>22860</xdr:rowOff>
        </xdr:to>
        <xdr:sp macro="" textlink="">
          <xdr:nvSpPr>
            <xdr:cNvPr id="32779" name="Check Box 11" hidden="1">
              <a:extLst>
                <a:ext uri="{63B3BB69-23CF-44E3-9099-C40C66FF867C}">
                  <a14:compatExt spid="_x0000_s32779"/>
                </a:ext>
                <a:ext uri="{FF2B5EF4-FFF2-40B4-BE49-F238E27FC236}">
                  <a16:creationId xmlns:a16="http://schemas.microsoft.com/office/drawing/2014/main" id="{00000000-0008-0000-0100-00000B8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47</xdr:col>
          <xdr:colOff>45720</xdr:colOff>
          <xdr:row>11</xdr:row>
          <xdr:rowOff>228600</xdr:rowOff>
        </xdr:from>
        <xdr:to>
          <xdr:col>48</xdr:col>
          <xdr:colOff>121920</xdr:colOff>
          <xdr:row>13</xdr:row>
          <xdr:rowOff>22860</xdr:rowOff>
        </xdr:to>
        <xdr:sp macro="" textlink="">
          <xdr:nvSpPr>
            <xdr:cNvPr id="32780" name="Check Box 12" hidden="1">
              <a:extLst>
                <a:ext uri="{63B3BB69-23CF-44E3-9099-C40C66FF867C}">
                  <a14:compatExt spid="_x0000_s32780"/>
                </a:ext>
                <a:ext uri="{FF2B5EF4-FFF2-40B4-BE49-F238E27FC236}">
                  <a16:creationId xmlns:a16="http://schemas.microsoft.com/office/drawing/2014/main" id="{00000000-0008-0000-0100-00000C8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34</xdr:col>
      <xdr:colOff>104775</xdr:colOff>
      <xdr:row>38</xdr:row>
      <xdr:rowOff>76200</xdr:rowOff>
    </xdr:from>
    <xdr:to>
      <xdr:col>64</xdr:col>
      <xdr:colOff>142875</xdr:colOff>
      <xdr:row>51</xdr:row>
      <xdr:rowOff>0</xdr:rowOff>
    </xdr:to>
    <xdr:sp macro="" textlink="">
      <xdr:nvSpPr>
        <xdr:cNvPr id="15" name="正方形/長方形 14">
          <a:extLst>
            <a:ext uri="{FF2B5EF4-FFF2-40B4-BE49-F238E27FC236}">
              <a16:creationId xmlns:a16="http://schemas.microsoft.com/office/drawing/2014/main" id="{00000000-0008-0000-0100-00000F000000}"/>
            </a:ext>
          </a:extLst>
        </xdr:cNvPr>
        <xdr:cNvSpPr/>
      </xdr:nvSpPr>
      <xdr:spPr>
        <a:xfrm>
          <a:off x="4962525" y="9124950"/>
          <a:ext cx="4324350" cy="30194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latin typeface="ＭＳ 明朝" panose="02020609040205080304" pitchFamily="17" charset="-128"/>
              <a:ea typeface="ＭＳ 明朝" panose="02020609040205080304" pitchFamily="17" charset="-128"/>
            </a:rPr>
            <a:t>◆添付書類に関する注意事項</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a:p>
          <a:pPr algn="l"/>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a:p>
          <a:pPr algn="l"/>
          <a:r>
            <a:rPr kumimoji="1" lang="en-US" altLang="ja-JP" sz="900">
              <a:solidFill>
                <a:sysClr val="windowText" lastClr="000000"/>
              </a:solidFill>
              <a:latin typeface="ＭＳ 明朝" panose="02020609040205080304" pitchFamily="17" charset="-128"/>
              <a:ea typeface="ＭＳ 明朝" panose="02020609040205080304" pitchFamily="17" charset="-128"/>
            </a:rPr>
            <a:t>(1) </a:t>
          </a:r>
          <a:r>
            <a:rPr kumimoji="1" lang="ja-JP" altLang="en-US" sz="900">
              <a:solidFill>
                <a:sysClr val="windowText" lastClr="000000"/>
              </a:solidFill>
              <a:latin typeface="ＭＳ 明朝" panose="02020609040205080304" pitchFamily="17" charset="-128"/>
              <a:ea typeface="ＭＳ 明朝" panose="02020609040205080304" pitchFamily="17" charset="-128"/>
            </a:rPr>
            <a:t>学会に参加した場合、次の３点を添付してください。</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900">
              <a:solidFill>
                <a:sysClr val="windowText" lastClr="000000"/>
              </a:solidFill>
              <a:latin typeface="ＭＳ 明朝" panose="02020609040205080304" pitchFamily="17" charset="-128"/>
              <a:ea typeface="ＭＳ 明朝" panose="02020609040205080304" pitchFamily="17" charset="-128"/>
            </a:rPr>
            <a:t>　★①学会名・開催日時・開催場所の３点が記載された資料</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900">
              <a:solidFill>
                <a:sysClr val="windowText" lastClr="000000"/>
              </a:solidFill>
              <a:latin typeface="ＭＳ 明朝" panose="02020609040205080304" pitchFamily="17" charset="-128"/>
              <a:ea typeface="ＭＳ 明朝" panose="02020609040205080304" pitchFamily="17" charset="-128"/>
            </a:rPr>
            <a:t>　★②参加費を請求する場合は、領収書（原本）</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900">
              <a:solidFill>
                <a:sysClr val="windowText" lastClr="000000"/>
              </a:solidFill>
              <a:latin typeface="ＭＳ 明朝" panose="02020609040205080304" pitchFamily="17" charset="-128"/>
              <a:ea typeface="ＭＳ 明朝" panose="02020609040205080304" pitchFamily="17" charset="-128"/>
            </a:rPr>
            <a:t>　★③参加費を請求する場合は、参加費の内訳が記載された資料</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a:p>
          <a:pPr algn="l"/>
          <a:r>
            <a:rPr kumimoji="1" lang="en-US" altLang="ja-JP" sz="900">
              <a:solidFill>
                <a:sysClr val="windowText" lastClr="000000"/>
              </a:solidFill>
              <a:latin typeface="ＭＳ 明朝" panose="02020609040205080304" pitchFamily="17" charset="-128"/>
              <a:ea typeface="ＭＳ 明朝" panose="02020609040205080304" pitchFamily="17" charset="-128"/>
            </a:rPr>
            <a:t>(2) </a:t>
          </a:r>
          <a:r>
            <a:rPr kumimoji="1" lang="ja-JP" altLang="en-US" sz="900">
              <a:solidFill>
                <a:sysClr val="windowText" lastClr="000000"/>
              </a:solidFill>
              <a:latin typeface="ＭＳ 明朝" panose="02020609040205080304" pitchFamily="17" charset="-128"/>
              <a:ea typeface="ＭＳ 明朝" panose="02020609040205080304" pitchFamily="17" charset="-128"/>
            </a:rPr>
            <a:t>航空機を利用した場合、次の３点を添付してください。</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900">
              <a:solidFill>
                <a:sysClr val="windowText" lastClr="000000"/>
              </a:solidFill>
              <a:latin typeface="ＭＳ 明朝" panose="02020609040205080304" pitchFamily="17" charset="-128"/>
              <a:ea typeface="ＭＳ 明朝" panose="02020609040205080304" pitchFamily="17" charset="-128"/>
            </a:rPr>
            <a:t>　　①搭乗券の半券</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900">
              <a:solidFill>
                <a:sysClr val="windowText" lastClr="000000"/>
              </a:solidFill>
              <a:latin typeface="ＭＳ 明朝" panose="02020609040205080304" pitchFamily="17" charset="-128"/>
              <a:ea typeface="ＭＳ 明朝" panose="02020609040205080304" pitchFamily="17" charset="-128"/>
            </a:rPr>
            <a:t>　　②航空運賃の領収書</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900">
              <a:solidFill>
                <a:sysClr val="windowText" lastClr="000000"/>
              </a:solidFill>
              <a:latin typeface="ＭＳ 明朝" panose="02020609040205080304" pitchFamily="17" charset="-128"/>
              <a:ea typeface="ＭＳ 明朝" panose="02020609040205080304" pitchFamily="17" charset="-128"/>
            </a:rPr>
            <a:t>　★③航空機の利用内容が記載された資料（フライト情報、座席クラス等）</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a:p>
          <a:pPr algn="l"/>
          <a:r>
            <a:rPr kumimoji="1" lang="en-US" altLang="ja-JP" sz="900">
              <a:solidFill>
                <a:sysClr val="windowText" lastClr="000000"/>
              </a:solidFill>
              <a:latin typeface="ＭＳ 明朝" panose="02020609040205080304" pitchFamily="17" charset="-128"/>
              <a:ea typeface="ＭＳ 明朝" panose="02020609040205080304" pitchFamily="17" charset="-128"/>
            </a:rPr>
            <a:t>(3) </a:t>
          </a:r>
          <a:r>
            <a:rPr kumimoji="1" lang="ja-JP" altLang="en-US" sz="900">
              <a:solidFill>
                <a:sysClr val="windowText" lastClr="000000"/>
              </a:solidFill>
              <a:latin typeface="ＭＳ 明朝" panose="02020609040205080304" pitchFamily="17" charset="-128"/>
              <a:ea typeface="ＭＳ 明朝" panose="02020609040205080304" pitchFamily="17" charset="-128"/>
            </a:rPr>
            <a:t>仮払いの際に、事前に上記★印の書類を提出済みである場合は、再度提出する必要はありません。</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a:p>
          <a:pPr algn="l"/>
          <a:r>
            <a:rPr kumimoji="1" lang="en-US" altLang="ja-JP" sz="900">
              <a:solidFill>
                <a:sysClr val="windowText" lastClr="000000"/>
              </a:solidFill>
              <a:latin typeface="ＭＳ 明朝" panose="02020609040205080304" pitchFamily="17" charset="-128"/>
              <a:ea typeface="ＭＳ 明朝" panose="02020609040205080304" pitchFamily="17" charset="-128"/>
            </a:rPr>
            <a:t>(4) </a:t>
          </a:r>
          <a:r>
            <a:rPr kumimoji="1" lang="ja-JP" altLang="en-US" sz="900">
              <a:solidFill>
                <a:sysClr val="windowText" lastClr="000000"/>
              </a:solidFill>
              <a:latin typeface="ＭＳ 明朝" panose="02020609040205080304" pitchFamily="17" charset="-128"/>
              <a:ea typeface="ＭＳ 明朝" panose="02020609040205080304" pitchFamily="17" charset="-128"/>
            </a:rPr>
            <a:t>宿泊料（国内）の領収書（原本）を添付してください。</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a:p>
          <a:pPr algn="l"/>
          <a:r>
            <a:rPr kumimoji="1" lang="en-US" altLang="ja-JP" sz="900">
              <a:solidFill>
                <a:sysClr val="windowText" lastClr="000000"/>
              </a:solidFill>
              <a:latin typeface="ＭＳ 明朝" panose="02020609040205080304" pitchFamily="17" charset="-128"/>
              <a:ea typeface="ＭＳ 明朝" panose="02020609040205080304" pitchFamily="17" charset="-128"/>
            </a:rPr>
            <a:t>(5) </a:t>
          </a:r>
          <a:r>
            <a:rPr kumimoji="1" lang="ja-JP" altLang="en-US" sz="900">
              <a:solidFill>
                <a:sysClr val="windowText" lastClr="000000"/>
              </a:solidFill>
              <a:latin typeface="ＭＳ 明朝" panose="02020609040205080304" pitchFamily="17" charset="-128"/>
              <a:ea typeface="ＭＳ 明朝" panose="02020609040205080304" pitchFamily="17" charset="-128"/>
            </a:rPr>
            <a:t>旅費を請求しない場合は、上記</a:t>
          </a:r>
          <a:r>
            <a:rPr kumimoji="1" lang="en-US" altLang="ja-JP" sz="900">
              <a:solidFill>
                <a:sysClr val="windowText" lastClr="000000"/>
              </a:solidFill>
              <a:latin typeface="ＭＳ 明朝" panose="02020609040205080304" pitchFamily="17" charset="-128"/>
              <a:ea typeface="ＭＳ 明朝" panose="02020609040205080304" pitchFamily="17" charset="-128"/>
            </a:rPr>
            <a:t>(2)③</a:t>
          </a:r>
          <a:r>
            <a:rPr kumimoji="1" lang="ja-JP" altLang="en-US" sz="900">
              <a:solidFill>
                <a:sysClr val="windowText" lastClr="000000"/>
              </a:solidFill>
              <a:latin typeface="ＭＳ 明朝" panose="02020609040205080304" pitchFamily="17" charset="-128"/>
              <a:ea typeface="ＭＳ 明朝" panose="02020609040205080304" pitchFamily="17" charset="-128"/>
            </a:rPr>
            <a:t>のみ提出が必要となります。</a:t>
          </a:r>
        </a:p>
        <a:p>
          <a:pPr algn="l"/>
          <a:r>
            <a:rPr kumimoji="1" lang="en-US" altLang="ja-JP" sz="900">
              <a:solidFill>
                <a:sysClr val="windowText" lastClr="000000"/>
              </a:solidFill>
              <a:latin typeface="ＭＳ 明朝" panose="02020609040205080304" pitchFamily="17" charset="-128"/>
              <a:ea typeface="ＭＳ 明朝" panose="02020609040205080304" pitchFamily="17" charset="-128"/>
            </a:rPr>
            <a:t>(6) </a:t>
          </a:r>
          <a:r>
            <a:rPr kumimoji="1" lang="ja-JP" altLang="en-US" sz="900">
              <a:solidFill>
                <a:sysClr val="windowText" lastClr="000000"/>
              </a:solidFill>
              <a:latin typeface="ＭＳ 明朝" panose="02020609040205080304" pitchFamily="17" charset="-128"/>
              <a:ea typeface="ＭＳ 明朝" panose="02020609040205080304" pitchFamily="17" charset="-128"/>
            </a:rPr>
            <a:t>上記の他、追加で添付書類が必要となることがあります。</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45720</xdr:colOff>
          <xdr:row>44</xdr:row>
          <xdr:rowOff>228600</xdr:rowOff>
        </xdr:from>
        <xdr:to>
          <xdr:col>7</xdr:col>
          <xdr:colOff>121920</xdr:colOff>
          <xdr:row>46</xdr:row>
          <xdr:rowOff>22860</xdr:rowOff>
        </xdr:to>
        <xdr:sp macro="" textlink="">
          <xdr:nvSpPr>
            <xdr:cNvPr id="36865" name="Check Box 1" hidden="1">
              <a:extLst>
                <a:ext uri="{63B3BB69-23CF-44E3-9099-C40C66FF867C}">
                  <a14:compatExt spid="_x0000_s36865"/>
                </a:ext>
                <a:ext uri="{FF2B5EF4-FFF2-40B4-BE49-F238E27FC236}">
                  <a16:creationId xmlns:a16="http://schemas.microsoft.com/office/drawing/2014/main" id="{00000000-0008-0000-0200-0000018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45720</xdr:colOff>
          <xdr:row>44</xdr:row>
          <xdr:rowOff>228600</xdr:rowOff>
        </xdr:from>
        <xdr:to>
          <xdr:col>15</xdr:col>
          <xdr:colOff>121920</xdr:colOff>
          <xdr:row>46</xdr:row>
          <xdr:rowOff>22860</xdr:rowOff>
        </xdr:to>
        <xdr:sp macro="" textlink="">
          <xdr:nvSpPr>
            <xdr:cNvPr id="36866" name="Check Box 2" hidden="1">
              <a:extLst>
                <a:ext uri="{63B3BB69-23CF-44E3-9099-C40C66FF867C}">
                  <a14:compatExt spid="_x0000_s36866"/>
                </a:ext>
                <a:ext uri="{FF2B5EF4-FFF2-40B4-BE49-F238E27FC236}">
                  <a16:creationId xmlns:a16="http://schemas.microsoft.com/office/drawing/2014/main" id="{00000000-0008-0000-0200-0000028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xdr:colOff>
          <xdr:row>45</xdr:row>
          <xdr:rowOff>228600</xdr:rowOff>
        </xdr:from>
        <xdr:to>
          <xdr:col>7</xdr:col>
          <xdr:colOff>121920</xdr:colOff>
          <xdr:row>47</xdr:row>
          <xdr:rowOff>22860</xdr:rowOff>
        </xdr:to>
        <xdr:sp macro="" textlink="">
          <xdr:nvSpPr>
            <xdr:cNvPr id="36867" name="Check Box 3" hidden="1">
              <a:extLst>
                <a:ext uri="{63B3BB69-23CF-44E3-9099-C40C66FF867C}">
                  <a14:compatExt spid="_x0000_s36867"/>
                </a:ext>
                <a:ext uri="{FF2B5EF4-FFF2-40B4-BE49-F238E27FC236}">
                  <a16:creationId xmlns:a16="http://schemas.microsoft.com/office/drawing/2014/main" id="{00000000-0008-0000-0200-0000038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45720</xdr:colOff>
          <xdr:row>45</xdr:row>
          <xdr:rowOff>228600</xdr:rowOff>
        </xdr:from>
        <xdr:to>
          <xdr:col>15</xdr:col>
          <xdr:colOff>121920</xdr:colOff>
          <xdr:row>47</xdr:row>
          <xdr:rowOff>22860</xdr:rowOff>
        </xdr:to>
        <xdr:sp macro="" textlink="">
          <xdr:nvSpPr>
            <xdr:cNvPr id="36868" name="Check Box 4" hidden="1">
              <a:extLst>
                <a:ext uri="{63B3BB69-23CF-44E3-9099-C40C66FF867C}">
                  <a14:compatExt spid="_x0000_s36868"/>
                </a:ext>
                <a:ext uri="{FF2B5EF4-FFF2-40B4-BE49-F238E27FC236}">
                  <a16:creationId xmlns:a16="http://schemas.microsoft.com/office/drawing/2014/main" id="{00000000-0008-0000-0200-0000048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45720</xdr:colOff>
          <xdr:row>45</xdr:row>
          <xdr:rowOff>228600</xdr:rowOff>
        </xdr:from>
        <xdr:to>
          <xdr:col>23</xdr:col>
          <xdr:colOff>121920</xdr:colOff>
          <xdr:row>47</xdr:row>
          <xdr:rowOff>22860</xdr:rowOff>
        </xdr:to>
        <xdr:sp macro="" textlink="">
          <xdr:nvSpPr>
            <xdr:cNvPr id="36869" name="Check Box 5" hidden="1">
              <a:extLst>
                <a:ext uri="{63B3BB69-23CF-44E3-9099-C40C66FF867C}">
                  <a14:compatExt spid="_x0000_s36869"/>
                </a:ext>
                <a:ext uri="{FF2B5EF4-FFF2-40B4-BE49-F238E27FC236}">
                  <a16:creationId xmlns:a16="http://schemas.microsoft.com/office/drawing/2014/main" id="{00000000-0008-0000-0200-0000058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xdr:colOff>
          <xdr:row>46</xdr:row>
          <xdr:rowOff>228600</xdr:rowOff>
        </xdr:from>
        <xdr:to>
          <xdr:col>7</xdr:col>
          <xdr:colOff>121920</xdr:colOff>
          <xdr:row>48</xdr:row>
          <xdr:rowOff>22860</xdr:rowOff>
        </xdr:to>
        <xdr:sp macro="" textlink="">
          <xdr:nvSpPr>
            <xdr:cNvPr id="36870" name="Check Box 6" hidden="1">
              <a:extLst>
                <a:ext uri="{63B3BB69-23CF-44E3-9099-C40C66FF867C}">
                  <a14:compatExt spid="_x0000_s36870"/>
                </a:ext>
                <a:ext uri="{FF2B5EF4-FFF2-40B4-BE49-F238E27FC236}">
                  <a16:creationId xmlns:a16="http://schemas.microsoft.com/office/drawing/2014/main" id="{00000000-0008-0000-0200-0000068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45720</xdr:colOff>
          <xdr:row>46</xdr:row>
          <xdr:rowOff>228600</xdr:rowOff>
        </xdr:from>
        <xdr:to>
          <xdr:col>15</xdr:col>
          <xdr:colOff>121920</xdr:colOff>
          <xdr:row>48</xdr:row>
          <xdr:rowOff>22860</xdr:rowOff>
        </xdr:to>
        <xdr:sp macro="" textlink="">
          <xdr:nvSpPr>
            <xdr:cNvPr id="36871" name="Check Box 7" hidden="1">
              <a:extLst>
                <a:ext uri="{63B3BB69-23CF-44E3-9099-C40C66FF867C}">
                  <a14:compatExt spid="_x0000_s36871"/>
                </a:ext>
                <a:ext uri="{FF2B5EF4-FFF2-40B4-BE49-F238E27FC236}">
                  <a16:creationId xmlns:a16="http://schemas.microsoft.com/office/drawing/2014/main" id="{00000000-0008-0000-0200-0000078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45720</xdr:colOff>
          <xdr:row>46</xdr:row>
          <xdr:rowOff>228600</xdr:rowOff>
        </xdr:from>
        <xdr:to>
          <xdr:col>23</xdr:col>
          <xdr:colOff>121920</xdr:colOff>
          <xdr:row>48</xdr:row>
          <xdr:rowOff>22860</xdr:rowOff>
        </xdr:to>
        <xdr:sp macro="" textlink="">
          <xdr:nvSpPr>
            <xdr:cNvPr id="36872" name="Check Box 8" hidden="1">
              <a:extLst>
                <a:ext uri="{63B3BB69-23CF-44E3-9099-C40C66FF867C}">
                  <a14:compatExt spid="_x0000_s36872"/>
                </a:ext>
                <a:ext uri="{FF2B5EF4-FFF2-40B4-BE49-F238E27FC236}">
                  <a16:creationId xmlns:a16="http://schemas.microsoft.com/office/drawing/2014/main" id="{00000000-0008-0000-0200-0000088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54</xdr:col>
          <xdr:colOff>45720</xdr:colOff>
          <xdr:row>32</xdr:row>
          <xdr:rowOff>0</xdr:rowOff>
        </xdr:from>
        <xdr:to>
          <xdr:col>56</xdr:col>
          <xdr:colOff>30480</xdr:colOff>
          <xdr:row>33</xdr:row>
          <xdr:rowOff>22860</xdr:rowOff>
        </xdr:to>
        <xdr:sp macro="" textlink="">
          <xdr:nvSpPr>
            <xdr:cNvPr id="36873" name="Check Box 9" hidden="1">
              <a:extLst>
                <a:ext uri="{63B3BB69-23CF-44E3-9099-C40C66FF867C}">
                  <a14:compatExt spid="_x0000_s36873"/>
                </a:ext>
                <a:ext uri="{FF2B5EF4-FFF2-40B4-BE49-F238E27FC236}">
                  <a16:creationId xmlns:a16="http://schemas.microsoft.com/office/drawing/2014/main" id="{00000000-0008-0000-0200-0000098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xdr:colOff>
          <xdr:row>48</xdr:row>
          <xdr:rowOff>106680</xdr:rowOff>
        </xdr:from>
        <xdr:to>
          <xdr:col>7</xdr:col>
          <xdr:colOff>121920</xdr:colOff>
          <xdr:row>49</xdr:row>
          <xdr:rowOff>121920</xdr:rowOff>
        </xdr:to>
        <xdr:sp macro="" textlink="">
          <xdr:nvSpPr>
            <xdr:cNvPr id="36874" name="Check Box 10" hidden="1">
              <a:extLst>
                <a:ext uri="{63B3BB69-23CF-44E3-9099-C40C66FF867C}">
                  <a14:compatExt spid="_x0000_s36874"/>
                </a:ext>
                <a:ext uri="{FF2B5EF4-FFF2-40B4-BE49-F238E27FC236}">
                  <a16:creationId xmlns:a16="http://schemas.microsoft.com/office/drawing/2014/main" id="{00000000-0008-0000-0200-00000A8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xdr:colOff>
          <xdr:row>50</xdr:row>
          <xdr:rowOff>99060</xdr:rowOff>
        </xdr:from>
        <xdr:to>
          <xdr:col>7</xdr:col>
          <xdr:colOff>121920</xdr:colOff>
          <xdr:row>51</xdr:row>
          <xdr:rowOff>121920</xdr:rowOff>
        </xdr:to>
        <xdr:sp macro="" textlink="">
          <xdr:nvSpPr>
            <xdr:cNvPr id="36875" name="Check Box 11" hidden="1">
              <a:extLst>
                <a:ext uri="{63B3BB69-23CF-44E3-9099-C40C66FF867C}">
                  <a14:compatExt spid="_x0000_s36875"/>
                </a:ext>
                <a:ext uri="{FF2B5EF4-FFF2-40B4-BE49-F238E27FC236}">
                  <a16:creationId xmlns:a16="http://schemas.microsoft.com/office/drawing/2014/main" id="{00000000-0008-0000-0200-00000B8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45720</xdr:colOff>
          <xdr:row>44</xdr:row>
          <xdr:rowOff>228600</xdr:rowOff>
        </xdr:from>
        <xdr:to>
          <xdr:col>7</xdr:col>
          <xdr:colOff>121920</xdr:colOff>
          <xdr:row>46</xdr:row>
          <xdr:rowOff>22860</xdr:rowOff>
        </xdr:to>
        <xdr:sp macro="" textlink="">
          <xdr:nvSpPr>
            <xdr:cNvPr id="38913" name="Check Box 1" hidden="1">
              <a:extLst>
                <a:ext uri="{63B3BB69-23CF-44E3-9099-C40C66FF867C}">
                  <a14:compatExt spid="_x0000_s38913"/>
                </a:ext>
                <a:ext uri="{FF2B5EF4-FFF2-40B4-BE49-F238E27FC236}">
                  <a16:creationId xmlns:a16="http://schemas.microsoft.com/office/drawing/2014/main" id="{00000000-0008-0000-0200-000001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45720</xdr:colOff>
          <xdr:row>44</xdr:row>
          <xdr:rowOff>228600</xdr:rowOff>
        </xdr:from>
        <xdr:to>
          <xdr:col>15</xdr:col>
          <xdr:colOff>121920</xdr:colOff>
          <xdr:row>46</xdr:row>
          <xdr:rowOff>22860</xdr:rowOff>
        </xdr:to>
        <xdr:sp macro="" textlink="">
          <xdr:nvSpPr>
            <xdr:cNvPr id="38914" name="Check Box 2" hidden="1">
              <a:extLst>
                <a:ext uri="{63B3BB69-23CF-44E3-9099-C40C66FF867C}">
                  <a14:compatExt spid="_x0000_s38914"/>
                </a:ext>
                <a:ext uri="{FF2B5EF4-FFF2-40B4-BE49-F238E27FC236}">
                  <a16:creationId xmlns:a16="http://schemas.microsoft.com/office/drawing/2014/main" id="{00000000-0008-0000-0200-000002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xdr:colOff>
          <xdr:row>45</xdr:row>
          <xdr:rowOff>228600</xdr:rowOff>
        </xdr:from>
        <xdr:to>
          <xdr:col>7</xdr:col>
          <xdr:colOff>121920</xdr:colOff>
          <xdr:row>47</xdr:row>
          <xdr:rowOff>22860</xdr:rowOff>
        </xdr:to>
        <xdr:sp macro="" textlink="">
          <xdr:nvSpPr>
            <xdr:cNvPr id="38915" name="Check Box 3" hidden="1">
              <a:extLst>
                <a:ext uri="{63B3BB69-23CF-44E3-9099-C40C66FF867C}">
                  <a14:compatExt spid="_x0000_s38915"/>
                </a:ext>
                <a:ext uri="{FF2B5EF4-FFF2-40B4-BE49-F238E27FC236}">
                  <a16:creationId xmlns:a16="http://schemas.microsoft.com/office/drawing/2014/main" id="{00000000-0008-0000-0200-000003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45720</xdr:colOff>
          <xdr:row>45</xdr:row>
          <xdr:rowOff>228600</xdr:rowOff>
        </xdr:from>
        <xdr:to>
          <xdr:col>15</xdr:col>
          <xdr:colOff>121920</xdr:colOff>
          <xdr:row>47</xdr:row>
          <xdr:rowOff>22860</xdr:rowOff>
        </xdr:to>
        <xdr:sp macro="" textlink="">
          <xdr:nvSpPr>
            <xdr:cNvPr id="38916" name="Check Box 4" hidden="1">
              <a:extLst>
                <a:ext uri="{63B3BB69-23CF-44E3-9099-C40C66FF867C}">
                  <a14:compatExt spid="_x0000_s38916"/>
                </a:ext>
                <a:ext uri="{FF2B5EF4-FFF2-40B4-BE49-F238E27FC236}">
                  <a16:creationId xmlns:a16="http://schemas.microsoft.com/office/drawing/2014/main" id="{00000000-0008-0000-0200-000004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45720</xdr:colOff>
          <xdr:row>45</xdr:row>
          <xdr:rowOff>228600</xdr:rowOff>
        </xdr:from>
        <xdr:to>
          <xdr:col>23</xdr:col>
          <xdr:colOff>121920</xdr:colOff>
          <xdr:row>47</xdr:row>
          <xdr:rowOff>22860</xdr:rowOff>
        </xdr:to>
        <xdr:sp macro="" textlink="">
          <xdr:nvSpPr>
            <xdr:cNvPr id="38917" name="Check Box 5" hidden="1">
              <a:extLst>
                <a:ext uri="{63B3BB69-23CF-44E3-9099-C40C66FF867C}">
                  <a14:compatExt spid="_x0000_s38917"/>
                </a:ext>
                <a:ext uri="{FF2B5EF4-FFF2-40B4-BE49-F238E27FC236}">
                  <a16:creationId xmlns:a16="http://schemas.microsoft.com/office/drawing/2014/main" id="{00000000-0008-0000-0200-000005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xdr:colOff>
          <xdr:row>46</xdr:row>
          <xdr:rowOff>228600</xdr:rowOff>
        </xdr:from>
        <xdr:to>
          <xdr:col>7</xdr:col>
          <xdr:colOff>121920</xdr:colOff>
          <xdr:row>48</xdr:row>
          <xdr:rowOff>22860</xdr:rowOff>
        </xdr:to>
        <xdr:sp macro="" textlink="">
          <xdr:nvSpPr>
            <xdr:cNvPr id="38918" name="Check Box 6" hidden="1">
              <a:extLst>
                <a:ext uri="{63B3BB69-23CF-44E3-9099-C40C66FF867C}">
                  <a14:compatExt spid="_x0000_s38918"/>
                </a:ext>
                <a:ext uri="{FF2B5EF4-FFF2-40B4-BE49-F238E27FC236}">
                  <a16:creationId xmlns:a16="http://schemas.microsoft.com/office/drawing/2014/main" id="{00000000-0008-0000-0200-000006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45720</xdr:colOff>
          <xdr:row>46</xdr:row>
          <xdr:rowOff>228600</xdr:rowOff>
        </xdr:from>
        <xdr:to>
          <xdr:col>15</xdr:col>
          <xdr:colOff>121920</xdr:colOff>
          <xdr:row>48</xdr:row>
          <xdr:rowOff>22860</xdr:rowOff>
        </xdr:to>
        <xdr:sp macro="" textlink="">
          <xdr:nvSpPr>
            <xdr:cNvPr id="38919" name="Check Box 7" hidden="1">
              <a:extLst>
                <a:ext uri="{63B3BB69-23CF-44E3-9099-C40C66FF867C}">
                  <a14:compatExt spid="_x0000_s38919"/>
                </a:ext>
                <a:ext uri="{FF2B5EF4-FFF2-40B4-BE49-F238E27FC236}">
                  <a16:creationId xmlns:a16="http://schemas.microsoft.com/office/drawing/2014/main" id="{00000000-0008-0000-0200-000007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45720</xdr:colOff>
          <xdr:row>46</xdr:row>
          <xdr:rowOff>228600</xdr:rowOff>
        </xdr:from>
        <xdr:to>
          <xdr:col>23</xdr:col>
          <xdr:colOff>121920</xdr:colOff>
          <xdr:row>48</xdr:row>
          <xdr:rowOff>22860</xdr:rowOff>
        </xdr:to>
        <xdr:sp macro="" textlink="">
          <xdr:nvSpPr>
            <xdr:cNvPr id="38920" name="Check Box 8" hidden="1">
              <a:extLst>
                <a:ext uri="{63B3BB69-23CF-44E3-9099-C40C66FF867C}">
                  <a14:compatExt spid="_x0000_s38920"/>
                </a:ext>
                <a:ext uri="{FF2B5EF4-FFF2-40B4-BE49-F238E27FC236}">
                  <a16:creationId xmlns:a16="http://schemas.microsoft.com/office/drawing/2014/main" id="{00000000-0008-0000-0200-000008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54</xdr:col>
          <xdr:colOff>45720</xdr:colOff>
          <xdr:row>32</xdr:row>
          <xdr:rowOff>0</xdr:rowOff>
        </xdr:from>
        <xdr:to>
          <xdr:col>56</xdr:col>
          <xdr:colOff>30480</xdr:colOff>
          <xdr:row>33</xdr:row>
          <xdr:rowOff>22860</xdr:rowOff>
        </xdr:to>
        <xdr:sp macro="" textlink="">
          <xdr:nvSpPr>
            <xdr:cNvPr id="38921" name="Check Box 9" hidden="1">
              <a:extLst>
                <a:ext uri="{63B3BB69-23CF-44E3-9099-C40C66FF867C}">
                  <a14:compatExt spid="_x0000_s38921"/>
                </a:ext>
                <a:ext uri="{FF2B5EF4-FFF2-40B4-BE49-F238E27FC236}">
                  <a16:creationId xmlns:a16="http://schemas.microsoft.com/office/drawing/2014/main" id="{00000000-0008-0000-0200-000009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xdr:colOff>
          <xdr:row>49</xdr:row>
          <xdr:rowOff>228600</xdr:rowOff>
        </xdr:from>
        <xdr:to>
          <xdr:col>7</xdr:col>
          <xdr:colOff>121920</xdr:colOff>
          <xdr:row>51</xdr:row>
          <xdr:rowOff>22860</xdr:rowOff>
        </xdr:to>
        <xdr:sp macro="" textlink="">
          <xdr:nvSpPr>
            <xdr:cNvPr id="38922" name="Check Box 10" hidden="1">
              <a:extLst>
                <a:ext uri="{63B3BB69-23CF-44E3-9099-C40C66FF867C}">
                  <a14:compatExt spid="_x0000_s38922"/>
                </a:ext>
                <a:ext uri="{FF2B5EF4-FFF2-40B4-BE49-F238E27FC236}">
                  <a16:creationId xmlns:a16="http://schemas.microsoft.com/office/drawing/2014/main" id="{00000000-0008-0000-0200-00000A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45720</xdr:colOff>
          <xdr:row>11</xdr:row>
          <xdr:rowOff>228600</xdr:rowOff>
        </xdr:from>
        <xdr:to>
          <xdr:col>40</xdr:col>
          <xdr:colOff>121920</xdr:colOff>
          <xdr:row>13</xdr:row>
          <xdr:rowOff>22860</xdr:rowOff>
        </xdr:to>
        <xdr:sp macro="" textlink="">
          <xdr:nvSpPr>
            <xdr:cNvPr id="38923" name="Check Box 11" hidden="1">
              <a:extLst>
                <a:ext uri="{63B3BB69-23CF-44E3-9099-C40C66FF867C}">
                  <a14:compatExt spid="_x0000_s38923"/>
                </a:ext>
                <a:ext uri="{FF2B5EF4-FFF2-40B4-BE49-F238E27FC236}">
                  <a16:creationId xmlns:a16="http://schemas.microsoft.com/office/drawing/2014/main" id="{00000000-0008-0000-0200-00000B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47</xdr:col>
          <xdr:colOff>45720</xdr:colOff>
          <xdr:row>11</xdr:row>
          <xdr:rowOff>228600</xdr:rowOff>
        </xdr:from>
        <xdr:to>
          <xdr:col>48</xdr:col>
          <xdr:colOff>121920</xdr:colOff>
          <xdr:row>13</xdr:row>
          <xdr:rowOff>22860</xdr:rowOff>
        </xdr:to>
        <xdr:sp macro="" textlink="">
          <xdr:nvSpPr>
            <xdr:cNvPr id="38924" name="Check Box 12" hidden="1">
              <a:extLst>
                <a:ext uri="{63B3BB69-23CF-44E3-9099-C40C66FF867C}">
                  <a14:compatExt spid="_x0000_s38924"/>
                </a:ext>
                <a:ext uri="{FF2B5EF4-FFF2-40B4-BE49-F238E27FC236}">
                  <a16:creationId xmlns:a16="http://schemas.microsoft.com/office/drawing/2014/main" id="{00000000-0008-0000-0200-00000C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xdr:colOff>
          <xdr:row>50</xdr:row>
          <xdr:rowOff>228600</xdr:rowOff>
        </xdr:from>
        <xdr:to>
          <xdr:col>7</xdr:col>
          <xdr:colOff>121920</xdr:colOff>
          <xdr:row>52</xdr:row>
          <xdr:rowOff>22860</xdr:rowOff>
        </xdr:to>
        <xdr:sp macro="" textlink="">
          <xdr:nvSpPr>
            <xdr:cNvPr id="38925" name="Check Box 13" hidden="1">
              <a:extLst>
                <a:ext uri="{63B3BB69-23CF-44E3-9099-C40C66FF867C}">
                  <a14:compatExt spid="_x0000_s38925"/>
                </a:ext>
                <a:ext uri="{FF2B5EF4-FFF2-40B4-BE49-F238E27FC236}">
                  <a16:creationId xmlns:a16="http://schemas.microsoft.com/office/drawing/2014/main" id="{00000000-0008-0000-0200-00000D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34</xdr:col>
      <xdr:colOff>104775</xdr:colOff>
      <xdr:row>38</xdr:row>
      <xdr:rowOff>76200</xdr:rowOff>
    </xdr:from>
    <xdr:to>
      <xdr:col>64</xdr:col>
      <xdr:colOff>142875</xdr:colOff>
      <xdr:row>51</xdr:row>
      <xdr:rowOff>0</xdr:rowOff>
    </xdr:to>
    <xdr:sp macro="" textlink="">
      <xdr:nvSpPr>
        <xdr:cNvPr id="15" name="正方形/長方形 14">
          <a:extLst>
            <a:ext uri="{FF2B5EF4-FFF2-40B4-BE49-F238E27FC236}">
              <a16:creationId xmlns:a16="http://schemas.microsoft.com/office/drawing/2014/main" id="{00000000-0008-0000-0200-00000F000000}"/>
            </a:ext>
          </a:extLst>
        </xdr:cNvPr>
        <xdr:cNvSpPr/>
      </xdr:nvSpPr>
      <xdr:spPr>
        <a:xfrm>
          <a:off x="5316855" y="7284720"/>
          <a:ext cx="4610100" cy="261366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latin typeface="ＭＳ 明朝" panose="02020609040205080304" pitchFamily="17" charset="-128"/>
              <a:ea typeface="ＭＳ 明朝" panose="02020609040205080304" pitchFamily="17" charset="-128"/>
            </a:rPr>
            <a:t>◆添付書類に関する注意事項</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a:p>
          <a:pPr algn="l"/>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a:p>
          <a:pPr algn="l"/>
          <a:r>
            <a:rPr kumimoji="1" lang="en-US" altLang="ja-JP" sz="900">
              <a:solidFill>
                <a:sysClr val="windowText" lastClr="000000"/>
              </a:solidFill>
              <a:latin typeface="ＭＳ 明朝" panose="02020609040205080304" pitchFamily="17" charset="-128"/>
              <a:ea typeface="ＭＳ 明朝" panose="02020609040205080304" pitchFamily="17" charset="-128"/>
            </a:rPr>
            <a:t>(1) </a:t>
          </a:r>
          <a:r>
            <a:rPr kumimoji="1" lang="ja-JP" altLang="en-US" sz="900">
              <a:solidFill>
                <a:sysClr val="windowText" lastClr="000000"/>
              </a:solidFill>
              <a:latin typeface="ＭＳ 明朝" panose="02020609040205080304" pitchFamily="17" charset="-128"/>
              <a:ea typeface="ＭＳ 明朝" panose="02020609040205080304" pitchFamily="17" charset="-128"/>
            </a:rPr>
            <a:t>学会に参加した場合、次の３点を添付してください。</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900">
              <a:solidFill>
                <a:sysClr val="windowText" lastClr="000000"/>
              </a:solidFill>
              <a:latin typeface="ＭＳ 明朝" panose="02020609040205080304" pitchFamily="17" charset="-128"/>
              <a:ea typeface="ＭＳ 明朝" panose="02020609040205080304" pitchFamily="17" charset="-128"/>
            </a:rPr>
            <a:t>　★①学会名・開催日時・開催場所の３点が記載された資料</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900">
              <a:solidFill>
                <a:sysClr val="windowText" lastClr="000000"/>
              </a:solidFill>
              <a:latin typeface="ＭＳ 明朝" panose="02020609040205080304" pitchFamily="17" charset="-128"/>
              <a:ea typeface="ＭＳ 明朝" panose="02020609040205080304" pitchFamily="17" charset="-128"/>
            </a:rPr>
            <a:t>　★②参加費を請求する場合は、領収書（原本）</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900">
              <a:solidFill>
                <a:sysClr val="windowText" lastClr="000000"/>
              </a:solidFill>
              <a:latin typeface="ＭＳ 明朝" panose="02020609040205080304" pitchFamily="17" charset="-128"/>
              <a:ea typeface="ＭＳ 明朝" panose="02020609040205080304" pitchFamily="17" charset="-128"/>
            </a:rPr>
            <a:t>　★③参加費を請求する場合は、参加費の内訳が記載された資料</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a:p>
          <a:pPr algn="l"/>
          <a:r>
            <a:rPr kumimoji="1" lang="en-US" altLang="ja-JP" sz="900">
              <a:solidFill>
                <a:sysClr val="windowText" lastClr="000000"/>
              </a:solidFill>
              <a:latin typeface="ＭＳ 明朝" panose="02020609040205080304" pitchFamily="17" charset="-128"/>
              <a:ea typeface="ＭＳ 明朝" panose="02020609040205080304" pitchFamily="17" charset="-128"/>
            </a:rPr>
            <a:t>(2) </a:t>
          </a:r>
          <a:r>
            <a:rPr kumimoji="1" lang="ja-JP" altLang="en-US" sz="900">
              <a:solidFill>
                <a:sysClr val="windowText" lastClr="000000"/>
              </a:solidFill>
              <a:latin typeface="ＭＳ 明朝" panose="02020609040205080304" pitchFamily="17" charset="-128"/>
              <a:ea typeface="ＭＳ 明朝" panose="02020609040205080304" pitchFamily="17" charset="-128"/>
            </a:rPr>
            <a:t>航空機を利用した場合、次の３点を添付してください。</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900">
              <a:solidFill>
                <a:sysClr val="windowText" lastClr="000000"/>
              </a:solidFill>
              <a:latin typeface="ＭＳ 明朝" panose="02020609040205080304" pitchFamily="17" charset="-128"/>
              <a:ea typeface="ＭＳ 明朝" panose="02020609040205080304" pitchFamily="17" charset="-128"/>
            </a:rPr>
            <a:t>　　①搭乗券の半券</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900">
              <a:solidFill>
                <a:sysClr val="windowText" lastClr="000000"/>
              </a:solidFill>
              <a:latin typeface="ＭＳ 明朝" panose="02020609040205080304" pitchFamily="17" charset="-128"/>
              <a:ea typeface="ＭＳ 明朝" panose="02020609040205080304" pitchFamily="17" charset="-128"/>
            </a:rPr>
            <a:t>　　②航空運賃の領収書</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900">
              <a:solidFill>
                <a:sysClr val="windowText" lastClr="000000"/>
              </a:solidFill>
              <a:latin typeface="ＭＳ 明朝" panose="02020609040205080304" pitchFamily="17" charset="-128"/>
              <a:ea typeface="ＭＳ 明朝" panose="02020609040205080304" pitchFamily="17" charset="-128"/>
            </a:rPr>
            <a:t>　★③航空機の利用内容が記載された資料（フライト情報、座席クラス等）</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a:p>
          <a:pPr algn="l"/>
          <a:r>
            <a:rPr kumimoji="1" lang="en-US" altLang="ja-JP" sz="900">
              <a:solidFill>
                <a:sysClr val="windowText" lastClr="000000"/>
              </a:solidFill>
              <a:latin typeface="ＭＳ 明朝" panose="02020609040205080304" pitchFamily="17" charset="-128"/>
              <a:ea typeface="ＭＳ 明朝" panose="02020609040205080304" pitchFamily="17" charset="-128"/>
            </a:rPr>
            <a:t>(3) </a:t>
          </a:r>
          <a:r>
            <a:rPr kumimoji="1" lang="ja-JP" altLang="en-US" sz="900">
              <a:solidFill>
                <a:sysClr val="windowText" lastClr="000000"/>
              </a:solidFill>
              <a:latin typeface="ＭＳ 明朝" panose="02020609040205080304" pitchFamily="17" charset="-128"/>
              <a:ea typeface="ＭＳ 明朝" panose="02020609040205080304" pitchFamily="17" charset="-128"/>
            </a:rPr>
            <a:t>仮払いの際に、事前に上記★印の書類を提出済みである場合は、再度提出する必要はありません。</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a:p>
          <a:pPr algn="l"/>
          <a:r>
            <a:rPr kumimoji="1" lang="en-US" altLang="ja-JP" sz="900">
              <a:solidFill>
                <a:sysClr val="windowText" lastClr="000000"/>
              </a:solidFill>
              <a:latin typeface="ＭＳ 明朝" panose="02020609040205080304" pitchFamily="17" charset="-128"/>
              <a:ea typeface="ＭＳ 明朝" panose="02020609040205080304" pitchFamily="17" charset="-128"/>
            </a:rPr>
            <a:t>(4) </a:t>
          </a:r>
          <a:r>
            <a:rPr kumimoji="1" lang="ja-JP" altLang="en-US" sz="900">
              <a:solidFill>
                <a:sysClr val="windowText" lastClr="000000"/>
              </a:solidFill>
              <a:latin typeface="ＭＳ 明朝" panose="02020609040205080304" pitchFamily="17" charset="-128"/>
              <a:ea typeface="ＭＳ 明朝" panose="02020609040205080304" pitchFamily="17" charset="-128"/>
            </a:rPr>
            <a:t>宿泊料（国内）の領収書（原本）を添付してください。</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a:p>
          <a:pPr algn="l"/>
          <a:r>
            <a:rPr kumimoji="1" lang="en-US" altLang="ja-JP" sz="900">
              <a:solidFill>
                <a:sysClr val="windowText" lastClr="000000"/>
              </a:solidFill>
              <a:latin typeface="ＭＳ 明朝" panose="02020609040205080304" pitchFamily="17" charset="-128"/>
              <a:ea typeface="ＭＳ 明朝" panose="02020609040205080304" pitchFamily="17" charset="-128"/>
            </a:rPr>
            <a:t>(5) </a:t>
          </a:r>
          <a:r>
            <a:rPr kumimoji="1" lang="ja-JP" altLang="en-US" sz="900">
              <a:solidFill>
                <a:sysClr val="windowText" lastClr="000000"/>
              </a:solidFill>
              <a:latin typeface="ＭＳ 明朝" panose="02020609040205080304" pitchFamily="17" charset="-128"/>
              <a:ea typeface="ＭＳ 明朝" panose="02020609040205080304" pitchFamily="17" charset="-128"/>
            </a:rPr>
            <a:t>旅費を請求しない場合は、上記</a:t>
          </a:r>
          <a:r>
            <a:rPr kumimoji="1" lang="en-US" altLang="ja-JP" sz="900">
              <a:solidFill>
                <a:sysClr val="windowText" lastClr="000000"/>
              </a:solidFill>
              <a:latin typeface="ＭＳ 明朝" panose="02020609040205080304" pitchFamily="17" charset="-128"/>
              <a:ea typeface="ＭＳ 明朝" panose="02020609040205080304" pitchFamily="17" charset="-128"/>
            </a:rPr>
            <a:t>(2)③</a:t>
          </a:r>
          <a:r>
            <a:rPr kumimoji="1" lang="ja-JP" altLang="en-US" sz="900">
              <a:solidFill>
                <a:sysClr val="windowText" lastClr="000000"/>
              </a:solidFill>
              <a:latin typeface="ＭＳ 明朝" panose="02020609040205080304" pitchFamily="17" charset="-128"/>
              <a:ea typeface="ＭＳ 明朝" panose="02020609040205080304" pitchFamily="17" charset="-128"/>
            </a:rPr>
            <a:t>のみ提出が必要となります。</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a:p>
          <a:pPr algn="l"/>
          <a:r>
            <a:rPr kumimoji="1" lang="en-US" altLang="ja-JP" sz="900">
              <a:solidFill>
                <a:sysClr val="windowText" lastClr="000000"/>
              </a:solidFill>
              <a:latin typeface="ＭＳ 明朝" panose="02020609040205080304" pitchFamily="17" charset="-128"/>
              <a:ea typeface="ＭＳ 明朝" panose="02020609040205080304" pitchFamily="17" charset="-128"/>
            </a:rPr>
            <a:t>(6) </a:t>
          </a:r>
          <a:r>
            <a:rPr kumimoji="1" lang="ja-JP" altLang="en-US" sz="900">
              <a:solidFill>
                <a:sysClr val="windowText" lastClr="000000"/>
              </a:solidFill>
              <a:latin typeface="ＭＳ 明朝" panose="02020609040205080304" pitchFamily="17" charset="-128"/>
              <a:ea typeface="ＭＳ 明朝" panose="02020609040205080304" pitchFamily="17" charset="-128"/>
            </a:rPr>
            <a:t>上記の他、追加で添付書類が必要となることがあります。</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mc:AlternateContent xmlns:mc="http://schemas.openxmlformats.org/markup-compatibility/2006">
    <mc:Choice xmlns:a14="http://schemas.microsoft.com/office/drawing/2010/main" Requires="a14">
      <xdr:twoCellAnchor editAs="oneCell">
        <xdr:from>
          <xdr:col>6</xdr:col>
          <xdr:colOff>45720</xdr:colOff>
          <xdr:row>48</xdr:row>
          <xdr:rowOff>106680</xdr:rowOff>
        </xdr:from>
        <xdr:to>
          <xdr:col>7</xdr:col>
          <xdr:colOff>121920</xdr:colOff>
          <xdr:row>49</xdr:row>
          <xdr:rowOff>121920</xdr:rowOff>
        </xdr:to>
        <xdr:sp macro="" textlink="">
          <xdr:nvSpPr>
            <xdr:cNvPr id="38926" name="Check Box 14" hidden="1">
              <a:extLst>
                <a:ext uri="{63B3BB69-23CF-44E3-9099-C40C66FF867C}">
                  <a14:compatExt spid="_x0000_s38926"/>
                </a:ext>
                <a:ext uri="{FF2B5EF4-FFF2-40B4-BE49-F238E27FC236}">
                  <a16:creationId xmlns:a16="http://schemas.microsoft.com/office/drawing/2014/main" id="{00000000-0008-0000-0200-00000E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39</xdr:col>
          <xdr:colOff>45720</xdr:colOff>
          <xdr:row>11</xdr:row>
          <xdr:rowOff>228600</xdr:rowOff>
        </xdr:from>
        <xdr:to>
          <xdr:col>40</xdr:col>
          <xdr:colOff>121920</xdr:colOff>
          <xdr:row>13</xdr:row>
          <xdr:rowOff>22860</xdr:rowOff>
        </xdr:to>
        <xdr:sp macro="" textlink="">
          <xdr:nvSpPr>
            <xdr:cNvPr id="43009" name="Check Box 1" hidden="1">
              <a:extLst>
                <a:ext uri="{63B3BB69-23CF-44E3-9099-C40C66FF867C}">
                  <a14:compatExt spid="_x0000_s43009"/>
                </a:ext>
                <a:ext uri="{FF2B5EF4-FFF2-40B4-BE49-F238E27FC236}">
                  <a16:creationId xmlns:a16="http://schemas.microsoft.com/office/drawing/2014/main" id="{00000000-0008-0000-0100-00000B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47</xdr:col>
          <xdr:colOff>45720</xdr:colOff>
          <xdr:row>11</xdr:row>
          <xdr:rowOff>228600</xdr:rowOff>
        </xdr:from>
        <xdr:to>
          <xdr:col>48</xdr:col>
          <xdr:colOff>121920</xdr:colOff>
          <xdr:row>13</xdr:row>
          <xdr:rowOff>22860</xdr:rowOff>
        </xdr:to>
        <xdr:sp macro="" textlink="">
          <xdr:nvSpPr>
            <xdr:cNvPr id="43010" name="Check Box 2" hidden="1">
              <a:extLst>
                <a:ext uri="{63B3BB69-23CF-44E3-9099-C40C66FF867C}">
                  <a14:compatExt spid="_x0000_s43010"/>
                </a:ext>
                <a:ext uri="{FF2B5EF4-FFF2-40B4-BE49-F238E27FC236}">
                  <a16:creationId xmlns:a16="http://schemas.microsoft.com/office/drawing/2014/main" id="{00000000-0008-0000-0100-00000C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39</xdr:col>
      <xdr:colOff>104775</xdr:colOff>
      <xdr:row>59</xdr:row>
      <xdr:rowOff>28576</xdr:rowOff>
    </xdr:from>
    <xdr:to>
      <xdr:col>65</xdr:col>
      <xdr:colOff>95250</xdr:colOff>
      <xdr:row>71</xdr:row>
      <xdr:rowOff>123826</xdr:rowOff>
    </xdr:to>
    <xdr:sp macro="" textlink="">
      <xdr:nvSpPr>
        <xdr:cNvPr id="4" name="正方形/長方形 3">
          <a:extLst>
            <a:ext uri="{FF2B5EF4-FFF2-40B4-BE49-F238E27FC236}">
              <a16:creationId xmlns:a16="http://schemas.microsoft.com/office/drawing/2014/main" id="{00000000-0008-0000-0100-000017000000}"/>
            </a:ext>
          </a:extLst>
        </xdr:cNvPr>
        <xdr:cNvSpPr/>
      </xdr:nvSpPr>
      <xdr:spPr>
        <a:xfrm>
          <a:off x="6078855" y="11412856"/>
          <a:ext cx="3952875" cy="238887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ＭＳ 明朝" panose="02020609040205080304" pitchFamily="17" charset="-128"/>
              <a:ea typeface="ＭＳ 明朝" panose="02020609040205080304" pitchFamily="17" charset="-128"/>
            </a:rPr>
            <a:t>◆添付書類に関する注意事項</a:t>
          </a:r>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a:p>
          <a:pPr algn="l"/>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a:p>
          <a:pPr algn="l"/>
          <a:r>
            <a:rPr kumimoji="1" lang="en-US" altLang="ja-JP" sz="800">
              <a:solidFill>
                <a:sysClr val="windowText" lastClr="000000"/>
              </a:solidFill>
              <a:latin typeface="ＭＳ 明朝" panose="02020609040205080304" pitchFamily="17" charset="-128"/>
              <a:ea typeface="ＭＳ 明朝" panose="02020609040205080304" pitchFamily="17" charset="-128"/>
            </a:rPr>
            <a:t>(1) </a:t>
          </a:r>
          <a:r>
            <a:rPr kumimoji="1" lang="ja-JP" altLang="en-US" sz="800">
              <a:solidFill>
                <a:sysClr val="windowText" lastClr="000000"/>
              </a:solidFill>
              <a:latin typeface="ＭＳ 明朝" panose="02020609040205080304" pitchFamily="17" charset="-128"/>
              <a:ea typeface="ＭＳ 明朝" panose="02020609040205080304" pitchFamily="17" charset="-128"/>
            </a:rPr>
            <a:t>学会に参加した場合、次の３点を添付してください。</a:t>
          </a:r>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800">
              <a:solidFill>
                <a:sysClr val="windowText" lastClr="000000"/>
              </a:solidFill>
              <a:latin typeface="ＭＳ 明朝" panose="02020609040205080304" pitchFamily="17" charset="-128"/>
              <a:ea typeface="ＭＳ 明朝" panose="02020609040205080304" pitchFamily="17" charset="-128"/>
            </a:rPr>
            <a:t>　★①学会名・開催日時・開催場所の３点が記載された資料</a:t>
          </a:r>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800">
              <a:solidFill>
                <a:sysClr val="windowText" lastClr="000000"/>
              </a:solidFill>
              <a:latin typeface="ＭＳ 明朝" panose="02020609040205080304" pitchFamily="17" charset="-128"/>
              <a:ea typeface="ＭＳ 明朝" panose="02020609040205080304" pitchFamily="17" charset="-128"/>
            </a:rPr>
            <a:t>　★②参加費を請求する場合は、領収書（原本）</a:t>
          </a:r>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800">
              <a:solidFill>
                <a:sysClr val="windowText" lastClr="000000"/>
              </a:solidFill>
              <a:latin typeface="ＭＳ 明朝" panose="02020609040205080304" pitchFamily="17" charset="-128"/>
              <a:ea typeface="ＭＳ 明朝" panose="02020609040205080304" pitchFamily="17" charset="-128"/>
            </a:rPr>
            <a:t>　★③参加費を請求する場合は、参加費の内訳が記載された資料</a:t>
          </a:r>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a:p>
          <a:pPr algn="l"/>
          <a:r>
            <a:rPr kumimoji="1" lang="en-US" altLang="ja-JP" sz="800">
              <a:solidFill>
                <a:sysClr val="windowText" lastClr="000000"/>
              </a:solidFill>
              <a:latin typeface="ＭＳ 明朝" panose="02020609040205080304" pitchFamily="17" charset="-128"/>
              <a:ea typeface="ＭＳ 明朝" panose="02020609040205080304" pitchFamily="17" charset="-128"/>
            </a:rPr>
            <a:t>(2) </a:t>
          </a:r>
          <a:r>
            <a:rPr kumimoji="1" lang="ja-JP" altLang="en-US" sz="800">
              <a:solidFill>
                <a:sysClr val="windowText" lastClr="000000"/>
              </a:solidFill>
              <a:latin typeface="ＭＳ 明朝" panose="02020609040205080304" pitchFamily="17" charset="-128"/>
              <a:ea typeface="ＭＳ 明朝" panose="02020609040205080304" pitchFamily="17" charset="-128"/>
            </a:rPr>
            <a:t>航空機を利用した場合、次の３点を添付してください。</a:t>
          </a:r>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800">
              <a:solidFill>
                <a:sysClr val="windowText" lastClr="000000"/>
              </a:solidFill>
              <a:latin typeface="ＭＳ 明朝" panose="02020609040205080304" pitchFamily="17" charset="-128"/>
              <a:ea typeface="ＭＳ 明朝" panose="02020609040205080304" pitchFamily="17" charset="-128"/>
            </a:rPr>
            <a:t>　　①搭乗券の半券</a:t>
          </a:r>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800">
              <a:solidFill>
                <a:sysClr val="windowText" lastClr="000000"/>
              </a:solidFill>
              <a:latin typeface="ＭＳ 明朝" panose="02020609040205080304" pitchFamily="17" charset="-128"/>
              <a:ea typeface="ＭＳ 明朝" panose="02020609040205080304" pitchFamily="17" charset="-128"/>
            </a:rPr>
            <a:t>　　②航空運賃の領収書</a:t>
          </a:r>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800">
              <a:solidFill>
                <a:sysClr val="windowText" lastClr="000000"/>
              </a:solidFill>
              <a:latin typeface="ＭＳ 明朝" panose="02020609040205080304" pitchFamily="17" charset="-128"/>
              <a:ea typeface="ＭＳ 明朝" panose="02020609040205080304" pitchFamily="17" charset="-128"/>
            </a:rPr>
            <a:t>　★③航空機の利用内容が記載された資料（フライト情報、座席クラス等）</a:t>
          </a:r>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a:p>
          <a:pPr algn="l"/>
          <a:r>
            <a:rPr kumimoji="1" lang="en-US" altLang="ja-JP" sz="800">
              <a:solidFill>
                <a:sysClr val="windowText" lastClr="000000"/>
              </a:solidFill>
              <a:latin typeface="ＭＳ 明朝" panose="02020609040205080304" pitchFamily="17" charset="-128"/>
              <a:ea typeface="ＭＳ 明朝" panose="02020609040205080304" pitchFamily="17" charset="-128"/>
            </a:rPr>
            <a:t>(3) </a:t>
          </a:r>
          <a:r>
            <a:rPr kumimoji="1" lang="ja-JP" altLang="en-US" sz="800">
              <a:solidFill>
                <a:sysClr val="windowText" lastClr="000000"/>
              </a:solidFill>
              <a:latin typeface="ＭＳ 明朝" panose="02020609040205080304" pitchFamily="17" charset="-128"/>
              <a:ea typeface="ＭＳ 明朝" panose="02020609040205080304" pitchFamily="17" charset="-128"/>
            </a:rPr>
            <a:t>仮払いの際に、事前に上記★印の書類を提出済みである場合は、再度提出する必要はありません。</a:t>
          </a:r>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a:p>
          <a:pPr algn="l"/>
          <a:r>
            <a:rPr kumimoji="1" lang="en-US" altLang="ja-JP" sz="800">
              <a:solidFill>
                <a:sysClr val="windowText" lastClr="000000"/>
              </a:solidFill>
              <a:latin typeface="ＭＳ 明朝" panose="02020609040205080304" pitchFamily="17" charset="-128"/>
              <a:ea typeface="ＭＳ 明朝" panose="02020609040205080304" pitchFamily="17" charset="-128"/>
            </a:rPr>
            <a:t>(4) </a:t>
          </a:r>
          <a:r>
            <a:rPr kumimoji="1" lang="ja-JP" altLang="en-US" sz="800">
              <a:solidFill>
                <a:sysClr val="windowText" lastClr="000000"/>
              </a:solidFill>
              <a:latin typeface="ＭＳ 明朝" panose="02020609040205080304" pitchFamily="17" charset="-128"/>
              <a:ea typeface="ＭＳ 明朝" panose="02020609040205080304" pitchFamily="17" charset="-128"/>
            </a:rPr>
            <a:t>宿泊料（国内）の領収書（原本）を添付してください。</a:t>
          </a:r>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a:p>
          <a:pPr algn="l"/>
          <a:r>
            <a:rPr kumimoji="1" lang="en-US" altLang="ja-JP" sz="800">
              <a:solidFill>
                <a:sysClr val="windowText" lastClr="000000"/>
              </a:solidFill>
              <a:latin typeface="ＭＳ 明朝" panose="02020609040205080304" pitchFamily="17" charset="-128"/>
              <a:ea typeface="ＭＳ 明朝" panose="02020609040205080304" pitchFamily="17" charset="-128"/>
            </a:rPr>
            <a:t>(5) </a:t>
          </a:r>
          <a:r>
            <a:rPr kumimoji="1" lang="ja-JP" altLang="en-US" sz="800">
              <a:solidFill>
                <a:sysClr val="windowText" lastClr="000000"/>
              </a:solidFill>
              <a:latin typeface="ＭＳ 明朝" panose="02020609040205080304" pitchFamily="17" charset="-128"/>
              <a:ea typeface="ＭＳ 明朝" panose="02020609040205080304" pitchFamily="17" charset="-128"/>
            </a:rPr>
            <a:t>旅費を請求しない場合は、上記</a:t>
          </a:r>
          <a:r>
            <a:rPr kumimoji="1" lang="en-US" altLang="ja-JP" sz="800">
              <a:solidFill>
                <a:sysClr val="windowText" lastClr="000000"/>
              </a:solidFill>
              <a:latin typeface="ＭＳ 明朝" panose="02020609040205080304" pitchFamily="17" charset="-128"/>
              <a:ea typeface="ＭＳ 明朝" panose="02020609040205080304" pitchFamily="17" charset="-128"/>
            </a:rPr>
            <a:t>(2)③</a:t>
          </a:r>
          <a:r>
            <a:rPr kumimoji="1" lang="ja-JP" altLang="en-US" sz="800">
              <a:solidFill>
                <a:sysClr val="windowText" lastClr="000000"/>
              </a:solidFill>
              <a:latin typeface="ＭＳ 明朝" panose="02020609040205080304" pitchFamily="17" charset="-128"/>
              <a:ea typeface="ＭＳ 明朝" panose="02020609040205080304" pitchFamily="17" charset="-128"/>
            </a:rPr>
            <a:t>のみ提出が必要となります。</a:t>
          </a:r>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a:p>
          <a:pPr algn="l"/>
          <a:r>
            <a:rPr kumimoji="1" lang="en-US" altLang="ja-JP" sz="800">
              <a:solidFill>
                <a:sysClr val="windowText" lastClr="000000"/>
              </a:solidFill>
              <a:effectLst/>
              <a:latin typeface="ＭＳ 明朝" panose="02020609040205080304" pitchFamily="17" charset="-128"/>
              <a:ea typeface="ＭＳ 明朝" panose="02020609040205080304" pitchFamily="17" charset="-128"/>
              <a:cs typeface="+mn-cs"/>
            </a:rPr>
            <a:t>(6) </a:t>
          </a:r>
          <a:r>
            <a:rPr kumimoji="1" lang="ja-JP" altLang="en-US" sz="800">
              <a:solidFill>
                <a:sysClr val="windowText" lastClr="000000"/>
              </a:solidFill>
              <a:latin typeface="ＭＳ 明朝" panose="02020609040205080304" pitchFamily="17" charset="-128"/>
              <a:ea typeface="ＭＳ 明朝" panose="02020609040205080304" pitchFamily="17" charset="-128"/>
            </a:rPr>
            <a:t>上記の他、追加で添付書類が必要となることがあります。</a:t>
          </a:r>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0</xdr:col>
      <xdr:colOff>0</xdr:colOff>
      <xdr:row>61</xdr:row>
      <xdr:rowOff>1</xdr:rowOff>
    </xdr:from>
    <xdr:to>
      <xdr:col>39</xdr:col>
      <xdr:colOff>114299</xdr:colOff>
      <xdr:row>70</xdr:row>
      <xdr:rowOff>114300</xdr:rowOff>
    </xdr:to>
    <xdr:sp macro="" textlink="">
      <xdr:nvSpPr>
        <xdr:cNvPr id="5" name="正方形/長方形 4">
          <a:extLst>
            <a:ext uri="{FF2B5EF4-FFF2-40B4-BE49-F238E27FC236}">
              <a16:creationId xmlns:a16="http://schemas.microsoft.com/office/drawing/2014/main" id="{00000000-0008-0000-0100-000018000000}"/>
            </a:ext>
          </a:extLst>
        </xdr:cNvPr>
        <xdr:cNvSpPr/>
      </xdr:nvSpPr>
      <xdr:spPr>
        <a:xfrm>
          <a:off x="0" y="11826241"/>
          <a:ext cx="6088379" cy="179831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ＭＳ 明朝" panose="02020609040205080304" pitchFamily="17" charset="-128"/>
              <a:ea typeface="ＭＳ 明朝" panose="02020609040205080304" pitchFamily="17" charset="-128"/>
            </a:rPr>
            <a:t>◆記入に関する注意事項</a:t>
          </a:r>
        </a:p>
        <a:p>
          <a:pPr algn="l"/>
          <a:r>
            <a:rPr kumimoji="1" lang="en-US" altLang="ja-JP" sz="800">
              <a:solidFill>
                <a:sysClr val="windowText" lastClr="000000"/>
              </a:solidFill>
              <a:latin typeface="ＭＳ 明朝" panose="02020609040205080304" pitchFamily="17" charset="-128"/>
              <a:ea typeface="ＭＳ 明朝" panose="02020609040205080304" pitchFamily="17" charset="-128"/>
            </a:rPr>
            <a:t>※1 </a:t>
          </a:r>
          <a:r>
            <a:rPr kumimoji="1" lang="ja-JP" altLang="en-US" sz="800">
              <a:solidFill>
                <a:sysClr val="windowText" lastClr="000000"/>
              </a:solidFill>
              <a:latin typeface="ＭＳ 明朝" panose="02020609040205080304" pitchFamily="17" charset="-128"/>
              <a:ea typeface="ＭＳ 明朝" panose="02020609040205080304" pitchFamily="17" charset="-128"/>
            </a:rPr>
            <a:t>最寄駅及び定期区間は「鉄道会社／駅名」又は「バス会社／バス停名」を記入してください。</a:t>
          </a:r>
        </a:p>
        <a:p>
          <a:pPr algn="l"/>
          <a:r>
            <a:rPr kumimoji="1" lang="en-US" altLang="ja-JP" sz="800">
              <a:solidFill>
                <a:sysClr val="windowText" lastClr="000000"/>
              </a:solidFill>
              <a:latin typeface="ＭＳ 明朝" panose="02020609040205080304" pitchFamily="17" charset="-128"/>
              <a:ea typeface="ＭＳ 明朝" panose="02020609040205080304" pitchFamily="17" charset="-128"/>
            </a:rPr>
            <a:t>※2 </a:t>
          </a:r>
          <a:r>
            <a:rPr kumimoji="1" lang="ja-JP" altLang="en-US" sz="800">
              <a:solidFill>
                <a:sysClr val="windowText" lastClr="000000"/>
              </a:solidFill>
              <a:latin typeface="ＭＳ 明朝" panose="02020609040205080304" pitchFamily="17" charset="-128"/>
              <a:ea typeface="ＭＳ 明朝" panose="02020609040205080304" pitchFamily="17" charset="-128"/>
            </a:rPr>
            <a:t>旅行命令上申書で申請した内容から旅行期間・金額・財源等の変更があった場合に、詳細を記入してください。</a:t>
          </a:r>
        </a:p>
        <a:p>
          <a:pPr algn="l"/>
          <a:r>
            <a:rPr kumimoji="1" lang="en-US" altLang="ja-JP" sz="800">
              <a:solidFill>
                <a:sysClr val="windowText" lastClr="000000"/>
              </a:solidFill>
              <a:latin typeface="ＭＳ 明朝" panose="02020609040205080304" pitchFamily="17" charset="-128"/>
              <a:ea typeface="ＭＳ 明朝" panose="02020609040205080304" pitchFamily="17" charset="-128"/>
            </a:rPr>
            <a:t>※3 </a:t>
          </a:r>
          <a:r>
            <a:rPr kumimoji="1" lang="ja-JP" altLang="en-US" sz="800">
              <a:solidFill>
                <a:sysClr val="windowText" lastClr="000000"/>
              </a:solidFill>
              <a:latin typeface="ＭＳ 明朝" panose="02020609040205080304" pitchFamily="17" charset="-128"/>
              <a:ea typeface="ＭＳ 明朝" panose="02020609040205080304" pitchFamily="17" charset="-128"/>
            </a:rPr>
            <a:t>旅行期間中の休日に業務を行う場合は、休日振替又は超過勤務の手続きが必要です。</a:t>
          </a:r>
        </a:p>
        <a:p>
          <a:pPr algn="l"/>
          <a:r>
            <a:rPr kumimoji="1" lang="ja-JP" altLang="en-US" sz="800">
              <a:solidFill>
                <a:sysClr val="windowText" lastClr="000000"/>
              </a:solidFill>
              <a:latin typeface="ＭＳ 明朝" panose="02020609040205080304" pitchFamily="17" charset="-128"/>
              <a:ea typeface="ＭＳ 明朝" panose="02020609040205080304" pitchFamily="17" charset="-128"/>
            </a:rPr>
            <a:t>　「休日振替申請書」 又は 「超過勤務（休日）命令／夜間勤務申請簿」を必ず提出してください。</a:t>
          </a:r>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800">
              <a:solidFill>
                <a:sysClr val="windowText" lastClr="000000"/>
              </a:solidFill>
              <a:latin typeface="ＭＳ 明朝" panose="02020609040205080304" pitchFamily="17" charset="-128"/>
              <a:ea typeface="ＭＳ 明朝" panose="02020609040205080304" pitchFamily="17" charset="-128"/>
            </a:rPr>
            <a:t>　ただし、休日における終日移動の場合は不要です。</a:t>
          </a:r>
        </a:p>
        <a:p>
          <a:pPr algn="l"/>
          <a:r>
            <a:rPr kumimoji="1" lang="en-US" altLang="ja-JP" sz="800">
              <a:solidFill>
                <a:sysClr val="windowText" lastClr="000000"/>
              </a:solidFill>
              <a:latin typeface="ＭＳ 明朝" panose="02020609040205080304" pitchFamily="17" charset="-128"/>
              <a:ea typeface="ＭＳ 明朝" panose="02020609040205080304" pitchFamily="17" charset="-128"/>
            </a:rPr>
            <a:t>※4 </a:t>
          </a:r>
          <a:r>
            <a:rPr kumimoji="1" lang="ja-JP" altLang="en-US" sz="800">
              <a:solidFill>
                <a:sysClr val="windowText" lastClr="000000"/>
              </a:solidFill>
              <a:latin typeface="ＭＳ 明朝" panose="02020609040205080304" pitchFamily="17" charset="-128"/>
              <a:ea typeface="ＭＳ 明朝" panose="02020609040205080304" pitchFamily="17" charset="-128"/>
            </a:rPr>
            <a:t>仮払いを希望する場合は、原則として、仮払い額（事前算出額）と仮払い精算額（事後の確定額）が同額となるようにして</a:t>
          </a:r>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800">
              <a:solidFill>
                <a:sysClr val="windowText" lastClr="000000"/>
              </a:solidFill>
              <a:latin typeface="ＭＳ 明朝" panose="02020609040205080304" pitchFamily="17" charset="-128"/>
              <a:ea typeface="ＭＳ 明朝" panose="02020609040205080304" pitchFamily="17" charset="-128"/>
            </a:rPr>
            <a:t>　　ください。</a:t>
          </a:r>
        </a:p>
        <a:p>
          <a:pPr algn="l"/>
          <a:r>
            <a:rPr kumimoji="1" lang="en-US" altLang="ja-JP" sz="800">
              <a:solidFill>
                <a:sysClr val="windowText" lastClr="000000"/>
              </a:solidFill>
              <a:latin typeface="ＭＳ 明朝" panose="02020609040205080304" pitchFamily="17" charset="-128"/>
              <a:ea typeface="ＭＳ 明朝" panose="02020609040205080304" pitchFamily="17" charset="-128"/>
            </a:rPr>
            <a:t>※5 </a:t>
          </a:r>
          <a:r>
            <a:rPr kumimoji="1" lang="ja-JP" altLang="en-US" sz="800">
              <a:solidFill>
                <a:sysClr val="windowText" lastClr="000000"/>
              </a:solidFill>
              <a:latin typeface="ＭＳ 明朝" panose="02020609040205080304" pitchFamily="17" charset="-128"/>
              <a:ea typeface="ＭＳ 明朝" panose="02020609040205080304" pitchFamily="17" charset="-128"/>
            </a:rPr>
            <a:t>打切請求（一部支給）がある場合は、希望する支払総額又は調整額（例「調整額：</a:t>
          </a:r>
          <a:r>
            <a:rPr kumimoji="1" lang="en-US" altLang="ja-JP" sz="800">
              <a:solidFill>
                <a:sysClr val="windowText" lastClr="000000"/>
              </a:solidFill>
              <a:latin typeface="ＭＳ 明朝" panose="02020609040205080304" pitchFamily="17" charset="-128"/>
              <a:ea typeface="ＭＳ 明朝" panose="02020609040205080304" pitchFamily="17" charset="-128"/>
            </a:rPr>
            <a:t>- 500</a:t>
          </a:r>
          <a:r>
            <a:rPr kumimoji="1" lang="ja-JP" altLang="en-US" sz="800">
              <a:solidFill>
                <a:sysClr val="windowText" lastClr="000000"/>
              </a:solidFill>
              <a:latin typeface="ＭＳ 明朝" panose="02020609040205080304" pitchFamily="17" charset="-128"/>
              <a:ea typeface="ＭＳ 明朝" panose="02020609040205080304" pitchFamily="17" charset="-128"/>
            </a:rPr>
            <a:t>円」）を備考欄に記入してください。</a:t>
          </a:r>
        </a:p>
        <a:p>
          <a:pPr algn="l"/>
          <a:r>
            <a:rPr kumimoji="1" lang="ja-JP" altLang="en-US" sz="800">
              <a:solidFill>
                <a:sysClr val="windowText" lastClr="000000"/>
              </a:solidFill>
              <a:latin typeface="ＭＳ 明朝" panose="02020609040205080304" pitchFamily="17" charset="-128"/>
              <a:ea typeface="ＭＳ 明朝" panose="02020609040205080304" pitchFamily="17" charset="-128"/>
            </a:rPr>
            <a:t>　　国内の移動にかかる旅費を請求する場合で、国内移動に空港バス等を利用した場合は、備考欄に記入してください。</a:t>
          </a: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45720</xdr:colOff>
          <xdr:row>46</xdr:row>
          <xdr:rowOff>228600</xdr:rowOff>
        </xdr:from>
        <xdr:to>
          <xdr:col>7</xdr:col>
          <xdr:colOff>121920</xdr:colOff>
          <xdr:row>48</xdr:row>
          <xdr:rowOff>22860</xdr:rowOff>
        </xdr:to>
        <xdr:sp macro="" textlink="">
          <xdr:nvSpPr>
            <xdr:cNvPr id="44033" name="Check Box 1" hidden="1">
              <a:extLst>
                <a:ext uri="{63B3BB69-23CF-44E3-9099-C40C66FF867C}">
                  <a14:compatExt spid="_x0000_s44033"/>
                </a:ext>
                <a:ext uri="{FF2B5EF4-FFF2-40B4-BE49-F238E27FC236}">
                  <a16:creationId xmlns:a16="http://schemas.microsoft.com/office/drawing/2014/main" id="{00000000-0008-0000-0300-000001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45720</xdr:colOff>
          <xdr:row>46</xdr:row>
          <xdr:rowOff>228600</xdr:rowOff>
        </xdr:from>
        <xdr:to>
          <xdr:col>15</xdr:col>
          <xdr:colOff>121920</xdr:colOff>
          <xdr:row>48</xdr:row>
          <xdr:rowOff>22860</xdr:rowOff>
        </xdr:to>
        <xdr:sp macro="" textlink="">
          <xdr:nvSpPr>
            <xdr:cNvPr id="44034" name="Check Box 2" hidden="1">
              <a:extLst>
                <a:ext uri="{63B3BB69-23CF-44E3-9099-C40C66FF867C}">
                  <a14:compatExt spid="_x0000_s44034"/>
                </a:ext>
                <a:ext uri="{FF2B5EF4-FFF2-40B4-BE49-F238E27FC236}">
                  <a16:creationId xmlns:a16="http://schemas.microsoft.com/office/drawing/2014/main" id="{00000000-0008-0000-0300-000002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xdr:colOff>
          <xdr:row>47</xdr:row>
          <xdr:rowOff>228600</xdr:rowOff>
        </xdr:from>
        <xdr:to>
          <xdr:col>7</xdr:col>
          <xdr:colOff>121920</xdr:colOff>
          <xdr:row>49</xdr:row>
          <xdr:rowOff>22860</xdr:rowOff>
        </xdr:to>
        <xdr:sp macro="" textlink="">
          <xdr:nvSpPr>
            <xdr:cNvPr id="44035" name="Check Box 3" hidden="1">
              <a:extLst>
                <a:ext uri="{63B3BB69-23CF-44E3-9099-C40C66FF867C}">
                  <a14:compatExt spid="_x0000_s44035"/>
                </a:ext>
                <a:ext uri="{FF2B5EF4-FFF2-40B4-BE49-F238E27FC236}">
                  <a16:creationId xmlns:a16="http://schemas.microsoft.com/office/drawing/2014/main" id="{00000000-0008-0000-0300-000003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45720</xdr:colOff>
          <xdr:row>47</xdr:row>
          <xdr:rowOff>228600</xdr:rowOff>
        </xdr:from>
        <xdr:to>
          <xdr:col>15</xdr:col>
          <xdr:colOff>121920</xdr:colOff>
          <xdr:row>49</xdr:row>
          <xdr:rowOff>22860</xdr:rowOff>
        </xdr:to>
        <xdr:sp macro="" textlink="">
          <xdr:nvSpPr>
            <xdr:cNvPr id="44036" name="Check Box 4" hidden="1">
              <a:extLst>
                <a:ext uri="{63B3BB69-23CF-44E3-9099-C40C66FF867C}">
                  <a14:compatExt spid="_x0000_s44036"/>
                </a:ext>
                <a:ext uri="{FF2B5EF4-FFF2-40B4-BE49-F238E27FC236}">
                  <a16:creationId xmlns:a16="http://schemas.microsoft.com/office/drawing/2014/main" id="{00000000-0008-0000-0300-000004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45720</xdr:colOff>
          <xdr:row>47</xdr:row>
          <xdr:rowOff>228600</xdr:rowOff>
        </xdr:from>
        <xdr:to>
          <xdr:col>23</xdr:col>
          <xdr:colOff>121920</xdr:colOff>
          <xdr:row>49</xdr:row>
          <xdr:rowOff>22860</xdr:rowOff>
        </xdr:to>
        <xdr:sp macro="" textlink="">
          <xdr:nvSpPr>
            <xdr:cNvPr id="44037" name="Check Box 5" hidden="1">
              <a:extLst>
                <a:ext uri="{63B3BB69-23CF-44E3-9099-C40C66FF867C}">
                  <a14:compatExt spid="_x0000_s44037"/>
                </a:ext>
                <a:ext uri="{FF2B5EF4-FFF2-40B4-BE49-F238E27FC236}">
                  <a16:creationId xmlns:a16="http://schemas.microsoft.com/office/drawing/2014/main" id="{00000000-0008-0000-0300-000005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xdr:colOff>
          <xdr:row>48</xdr:row>
          <xdr:rowOff>228600</xdr:rowOff>
        </xdr:from>
        <xdr:to>
          <xdr:col>7</xdr:col>
          <xdr:colOff>121920</xdr:colOff>
          <xdr:row>50</xdr:row>
          <xdr:rowOff>22860</xdr:rowOff>
        </xdr:to>
        <xdr:sp macro="" textlink="">
          <xdr:nvSpPr>
            <xdr:cNvPr id="44038" name="Check Box 6" hidden="1">
              <a:extLst>
                <a:ext uri="{63B3BB69-23CF-44E3-9099-C40C66FF867C}">
                  <a14:compatExt spid="_x0000_s44038"/>
                </a:ext>
                <a:ext uri="{FF2B5EF4-FFF2-40B4-BE49-F238E27FC236}">
                  <a16:creationId xmlns:a16="http://schemas.microsoft.com/office/drawing/2014/main" id="{00000000-0008-0000-0300-000006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45720</xdr:colOff>
          <xdr:row>48</xdr:row>
          <xdr:rowOff>228600</xdr:rowOff>
        </xdr:from>
        <xdr:to>
          <xdr:col>15</xdr:col>
          <xdr:colOff>121920</xdr:colOff>
          <xdr:row>50</xdr:row>
          <xdr:rowOff>22860</xdr:rowOff>
        </xdr:to>
        <xdr:sp macro="" textlink="">
          <xdr:nvSpPr>
            <xdr:cNvPr id="44039" name="Check Box 7" hidden="1">
              <a:extLst>
                <a:ext uri="{63B3BB69-23CF-44E3-9099-C40C66FF867C}">
                  <a14:compatExt spid="_x0000_s44039"/>
                </a:ext>
                <a:ext uri="{FF2B5EF4-FFF2-40B4-BE49-F238E27FC236}">
                  <a16:creationId xmlns:a16="http://schemas.microsoft.com/office/drawing/2014/main" id="{00000000-0008-0000-0300-000007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45720</xdr:colOff>
          <xdr:row>48</xdr:row>
          <xdr:rowOff>228600</xdr:rowOff>
        </xdr:from>
        <xdr:to>
          <xdr:col>23</xdr:col>
          <xdr:colOff>121920</xdr:colOff>
          <xdr:row>50</xdr:row>
          <xdr:rowOff>22860</xdr:rowOff>
        </xdr:to>
        <xdr:sp macro="" textlink="">
          <xdr:nvSpPr>
            <xdr:cNvPr id="44040" name="Check Box 8" hidden="1">
              <a:extLst>
                <a:ext uri="{63B3BB69-23CF-44E3-9099-C40C66FF867C}">
                  <a14:compatExt spid="_x0000_s44040"/>
                </a:ext>
                <a:ext uri="{FF2B5EF4-FFF2-40B4-BE49-F238E27FC236}">
                  <a16:creationId xmlns:a16="http://schemas.microsoft.com/office/drawing/2014/main" id="{00000000-0008-0000-0300-000008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54</xdr:col>
          <xdr:colOff>45720</xdr:colOff>
          <xdr:row>34</xdr:row>
          <xdr:rowOff>0</xdr:rowOff>
        </xdr:from>
        <xdr:to>
          <xdr:col>56</xdr:col>
          <xdr:colOff>30480</xdr:colOff>
          <xdr:row>35</xdr:row>
          <xdr:rowOff>22860</xdr:rowOff>
        </xdr:to>
        <xdr:sp macro="" textlink="">
          <xdr:nvSpPr>
            <xdr:cNvPr id="44041" name="Check Box 9" hidden="1">
              <a:extLst>
                <a:ext uri="{63B3BB69-23CF-44E3-9099-C40C66FF867C}">
                  <a14:compatExt spid="_x0000_s44041"/>
                </a:ext>
                <a:ext uri="{FF2B5EF4-FFF2-40B4-BE49-F238E27FC236}">
                  <a16:creationId xmlns:a16="http://schemas.microsoft.com/office/drawing/2014/main" id="{00000000-0008-0000-0300-000009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xdr:colOff>
          <xdr:row>51</xdr:row>
          <xdr:rowOff>228600</xdr:rowOff>
        </xdr:from>
        <xdr:to>
          <xdr:col>7</xdr:col>
          <xdr:colOff>121920</xdr:colOff>
          <xdr:row>53</xdr:row>
          <xdr:rowOff>22860</xdr:rowOff>
        </xdr:to>
        <xdr:sp macro="" textlink="">
          <xdr:nvSpPr>
            <xdr:cNvPr id="44042" name="Check Box 10" hidden="1">
              <a:extLst>
                <a:ext uri="{63B3BB69-23CF-44E3-9099-C40C66FF867C}">
                  <a14:compatExt spid="_x0000_s44042"/>
                </a:ext>
                <a:ext uri="{FF2B5EF4-FFF2-40B4-BE49-F238E27FC236}">
                  <a16:creationId xmlns:a16="http://schemas.microsoft.com/office/drawing/2014/main" id="{00000000-0008-0000-0300-00000A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45720</xdr:colOff>
          <xdr:row>11</xdr:row>
          <xdr:rowOff>228600</xdr:rowOff>
        </xdr:from>
        <xdr:to>
          <xdr:col>40</xdr:col>
          <xdr:colOff>121920</xdr:colOff>
          <xdr:row>13</xdr:row>
          <xdr:rowOff>22860</xdr:rowOff>
        </xdr:to>
        <xdr:sp macro="" textlink="">
          <xdr:nvSpPr>
            <xdr:cNvPr id="44043" name="Check Box 11" hidden="1">
              <a:extLst>
                <a:ext uri="{63B3BB69-23CF-44E3-9099-C40C66FF867C}">
                  <a14:compatExt spid="_x0000_s44043"/>
                </a:ext>
                <a:ext uri="{FF2B5EF4-FFF2-40B4-BE49-F238E27FC236}">
                  <a16:creationId xmlns:a16="http://schemas.microsoft.com/office/drawing/2014/main" id="{00000000-0008-0000-0300-00000B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47</xdr:col>
          <xdr:colOff>45720</xdr:colOff>
          <xdr:row>11</xdr:row>
          <xdr:rowOff>228600</xdr:rowOff>
        </xdr:from>
        <xdr:to>
          <xdr:col>48</xdr:col>
          <xdr:colOff>121920</xdr:colOff>
          <xdr:row>13</xdr:row>
          <xdr:rowOff>22860</xdr:rowOff>
        </xdr:to>
        <xdr:sp macro="" textlink="">
          <xdr:nvSpPr>
            <xdr:cNvPr id="44044" name="Check Box 12" hidden="1">
              <a:extLst>
                <a:ext uri="{63B3BB69-23CF-44E3-9099-C40C66FF867C}">
                  <a14:compatExt spid="_x0000_s44044"/>
                </a:ext>
                <a:ext uri="{FF2B5EF4-FFF2-40B4-BE49-F238E27FC236}">
                  <a16:creationId xmlns:a16="http://schemas.microsoft.com/office/drawing/2014/main" id="{00000000-0008-0000-0300-00000C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xdr:colOff>
          <xdr:row>52</xdr:row>
          <xdr:rowOff>198120</xdr:rowOff>
        </xdr:from>
        <xdr:to>
          <xdr:col>7</xdr:col>
          <xdr:colOff>121920</xdr:colOff>
          <xdr:row>54</xdr:row>
          <xdr:rowOff>0</xdr:rowOff>
        </xdr:to>
        <xdr:sp macro="" textlink="">
          <xdr:nvSpPr>
            <xdr:cNvPr id="44045" name="Check Box 13" hidden="1">
              <a:extLst>
                <a:ext uri="{63B3BB69-23CF-44E3-9099-C40C66FF867C}">
                  <a14:compatExt spid="_x0000_s44045"/>
                </a:ext>
                <a:ext uri="{FF2B5EF4-FFF2-40B4-BE49-F238E27FC236}">
                  <a16:creationId xmlns:a16="http://schemas.microsoft.com/office/drawing/2014/main" id="{00000000-0008-0000-0300-00000D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38100</xdr:colOff>
          <xdr:row>48</xdr:row>
          <xdr:rowOff>213360</xdr:rowOff>
        </xdr:from>
        <xdr:to>
          <xdr:col>36</xdr:col>
          <xdr:colOff>121920</xdr:colOff>
          <xdr:row>50</xdr:row>
          <xdr:rowOff>7620</xdr:rowOff>
        </xdr:to>
        <xdr:sp macro="" textlink="">
          <xdr:nvSpPr>
            <xdr:cNvPr id="44046" name="Check Box 14" hidden="1">
              <a:extLst>
                <a:ext uri="{63B3BB69-23CF-44E3-9099-C40C66FF867C}">
                  <a14:compatExt spid="_x0000_s44046"/>
                </a:ext>
                <a:ext uri="{FF2B5EF4-FFF2-40B4-BE49-F238E27FC236}">
                  <a16:creationId xmlns:a16="http://schemas.microsoft.com/office/drawing/2014/main" id="{00000000-0008-0000-0300-00000E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38100</xdr:colOff>
          <xdr:row>55</xdr:row>
          <xdr:rowOff>213360</xdr:rowOff>
        </xdr:from>
        <xdr:to>
          <xdr:col>36</xdr:col>
          <xdr:colOff>121920</xdr:colOff>
          <xdr:row>57</xdr:row>
          <xdr:rowOff>7620</xdr:rowOff>
        </xdr:to>
        <xdr:sp macro="" textlink="">
          <xdr:nvSpPr>
            <xdr:cNvPr id="44047" name="Check Box 15" hidden="1">
              <a:extLst>
                <a:ext uri="{63B3BB69-23CF-44E3-9099-C40C66FF867C}">
                  <a14:compatExt spid="_x0000_s44047"/>
                </a:ext>
                <a:ext uri="{FF2B5EF4-FFF2-40B4-BE49-F238E27FC236}">
                  <a16:creationId xmlns:a16="http://schemas.microsoft.com/office/drawing/2014/main" id="{00000000-0008-0000-0300-00000F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36</xdr:col>
          <xdr:colOff>38100</xdr:colOff>
          <xdr:row>50</xdr:row>
          <xdr:rowOff>213360</xdr:rowOff>
        </xdr:from>
        <xdr:to>
          <xdr:col>37</xdr:col>
          <xdr:colOff>121920</xdr:colOff>
          <xdr:row>52</xdr:row>
          <xdr:rowOff>7620</xdr:rowOff>
        </xdr:to>
        <xdr:sp macro="" textlink="">
          <xdr:nvSpPr>
            <xdr:cNvPr id="44048" name="Check Box 16" hidden="1">
              <a:extLst>
                <a:ext uri="{63B3BB69-23CF-44E3-9099-C40C66FF867C}">
                  <a14:compatExt spid="_x0000_s44048"/>
                </a:ext>
                <a:ext uri="{FF2B5EF4-FFF2-40B4-BE49-F238E27FC236}">
                  <a16:creationId xmlns:a16="http://schemas.microsoft.com/office/drawing/2014/main" id="{00000000-0008-0000-0300-000010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36</xdr:col>
          <xdr:colOff>38100</xdr:colOff>
          <xdr:row>51</xdr:row>
          <xdr:rowOff>213360</xdr:rowOff>
        </xdr:from>
        <xdr:to>
          <xdr:col>37</xdr:col>
          <xdr:colOff>121920</xdr:colOff>
          <xdr:row>53</xdr:row>
          <xdr:rowOff>7620</xdr:rowOff>
        </xdr:to>
        <xdr:sp macro="" textlink="">
          <xdr:nvSpPr>
            <xdr:cNvPr id="44049" name="Check Box 17" hidden="1">
              <a:extLst>
                <a:ext uri="{63B3BB69-23CF-44E3-9099-C40C66FF867C}">
                  <a14:compatExt spid="_x0000_s44049"/>
                </a:ext>
                <a:ext uri="{FF2B5EF4-FFF2-40B4-BE49-F238E27FC236}">
                  <a16:creationId xmlns:a16="http://schemas.microsoft.com/office/drawing/2014/main" id="{00000000-0008-0000-0300-000011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36</xdr:col>
          <xdr:colOff>38100</xdr:colOff>
          <xdr:row>52</xdr:row>
          <xdr:rowOff>213360</xdr:rowOff>
        </xdr:from>
        <xdr:to>
          <xdr:col>37</xdr:col>
          <xdr:colOff>121920</xdr:colOff>
          <xdr:row>54</xdr:row>
          <xdr:rowOff>7620</xdr:rowOff>
        </xdr:to>
        <xdr:sp macro="" textlink="">
          <xdr:nvSpPr>
            <xdr:cNvPr id="44050" name="Check Box 18" hidden="1">
              <a:extLst>
                <a:ext uri="{63B3BB69-23CF-44E3-9099-C40C66FF867C}">
                  <a14:compatExt spid="_x0000_s44050"/>
                </a:ext>
                <a:ext uri="{FF2B5EF4-FFF2-40B4-BE49-F238E27FC236}">
                  <a16:creationId xmlns:a16="http://schemas.microsoft.com/office/drawing/2014/main" id="{00000000-0008-0000-0300-000012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36</xdr:col>
          <xdr:colOff>38100</xdr:colOff>
          <xdr:row>53</xdr:row>
          <xdr:rowOff>213360</xdr:rowOff>
        </xdr:from>
        <xdr:to>
          <xdr:col>37</xdr:col>
          <xdr:colOff>121920</xdr:colOff>
          <xdr:row>55</xdr:row>
          <xdr:rowOff>7620</xdr:rowOff>
        </xdr:to>
        <xdr:sp macro="" textlink="">
          <xdr:nvSpPr>
            <xdr:cNvPr id="44051" name="Check Box 19" hidden="1">
              <a:extLst>
                <a:ext uri="{63B3BB69-23CF-44E3-9099-C40C66FF867C}">
                  <a14:compatExt spid="_x0000_s44051"/>
                </a:ext>
                <a:ext uri="{FF2B5EF4-FFF2-40B4-BE49-F238E27FC236}">
                  <a16:creationId xmlns:a16="http://schemas.microsoft.com/office/drawing/2014/main" id="{00000000-0008-0000-0300-000013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xdr:colOff>
          <xdr:row>53</xdr:row>
          <xdr:rowOff>228600</xdr:rowOff>
        </xdr:from>
        <xdr:to>
          <xdr:col>7</xdr:col>
          <xdr:colOff>121920</xdr:colOff>
          <xdr:row>55</xdr:row>
          <xdr:rowOff>22860</xdr:rowOff>
        </xdr:to>
        <xdr:sp macro="" textlink="">
          <xdr:nvSpPr>
            <xdr:cNvPr id="44052" name="Check Box 20" hidden="1">
              <a:extLst>
                <a:ext uri="{63B3BB69-23CF-44E3-9099-C40C66FF867C}">
                  <a14:compatExt spid="_x0000_s44052"/>
                </a:ext>
                <a:ext uri="{FF2B5EF4-FFF2-40B4-BE49-F238E27FC236}">
                  <a16:creationId xmlns:a16="http://schemas.microsoft.com/office/drawing/2014/main" id="{00000000-0008-0000-0300-000014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xdr:colOff>
          <xdr:row>50</xdr:row>
          <xdr:rowOff>106680</xdr:rowOff>
        </xdr:from>
        <xdr:to>
          <xdr:col>7</xdr:col>
          <xdr:colOff>121920</xdr:colOff>
          <xdr:row>51</xdr:row>
          <xdr:rowOff>121920</xdr:rowOff>
        </xdr:to>
        <xdr:sp macro="" textlink="">
          <xdr:nvSpPr>
            <xdr:cNvPr id="44053" name="Check Box 21" hidden="1">
              <a:extLst>
                <a:ext uri="{63B3BB69-23CF-44E3-9099-C40C66FF867C}">
                  <a14:compatExt spid="_x0000_s44053"/>
                </a:ext>
                <a:ext uri="{FF2B5EF4-FFF2-40B4-BE49-F238E27FC236}">
                  <a16:creationId xmlns:a16="http://schemas.microsoft.com/office/drawing/2014/main" id="{00000000-0008-0000-0300-000015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39</xdr:col>
      <xdr:colOff>104775</xdr:colOff>
      <xdr:row>59</xdr:row>
      <xdr:rowOff>28576</xdr:rowOff>
    </xdr:from>
    <xdr:to>
      <xdr:col>65</xdr:col>
      <xdr:colOff>95250</xdr:colOff>
      <xdr:row>71</xdr:row>
      <xdr:rowOff>123826</xdr:rowOff>
    </xdr:to>
    <xdr:sp macro="" textlink="">
      <xdr:nvSpPr>
        <xdr:cNvPr id="23" name="正方形/長方形 22">
          <a:extLst>
            <a:ext uri="{FF2B5EF4-FFF2-40B4-BE49-F238E27FC236}">
              <a16:creationId xmlns:a16="http://schemas.microsoft.com/office/drawing/2014/main" id="{00000000-0008-0000-0300-000017000000}"/>
            </a:ext>
          </a:extLst>
        </xdr:cNvPr>
        <xdr:cNvSpPr/>
      </xdr:nvSpPr>
      <xdr:spPr>
        <a:xfrm>
          <a:off x="6078855" y="11412856"/>
          <a:ext cx="3952875" cy="238887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ＭＳ 明朝" panose="02020609040205080304" pitchFamily="17" charset="-128"/>
              <a:ea typeface="ＭＳ 明朝" panose="02020609040205080304" pitchFamily="17" charset="-128"/>
            </a:rPr>
            <a:t>◆添付書類に関する注意事項</a:t>
          </a:r>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a:p>
          <a:pPr algn="l"/>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a:p>
          <a:pPr algn="l"/>
          <a:r>
            <a:rPr kumimoji="1" lang="en-US" altLang="ja-JP" sz="800">
              <a:solidFill>
                <a:sysClr val="windowText" lastClr="000000"/>
              </a:solidFill>
              <a:latin typeface="ＭＳ 明朝" panose="02020609040205080304" pitchFamily="17" charset="-128"/>
              <a:ea typeface="ＭＳ 明朝" panose="02020609040205080304" pitchFamily="17" charset="-128"/>
            </a:rPr>
            <a:t>(1) </a:t>
          </a:r>
          <a:r>
            <a:rPr kumimoji="1" lang="ja-JP" altLang="en-US" sz="800">
              <a:solidFill>
                <a:sysClr val="windowText" lastClr="000000"/>
              </a:solidFill>
              <a:latin typeface="ＭＳ 明朝" panose="02020609040205080304" pitchFamily="17" charset="-128"/>
              <a:ea typeface="ＭＳ 明朝" panose="02020609040205080304" pitchFamily="17" charset="-128"/>
            </a:rPr>
            <a:t>学会に参加した場合、次の３点を添付してください。</a:t>
          </a:r>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800">
              <a:solidFill>
                <a:sysClr val="windowText" lastClr="000000"/>
              </a:solidFill>
              <a:latin typeface="ＭＳ 明朝" panose="02020609040205080304" pitchFamily="17" charset="-128"/>
              <a:ea typeface="ＭＳ 明朝" panose="02020609040205080304" pitchFamily="17" charset="-128"/>
            </a:rPr>
            <a:t>　★①学会名・開催日時・開催場所の３点が記載された資料</a:t>
          </a:r>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800">
              <a:solidFill>
                <a:sysClr val="windowText" lastClr="000000"/>
              </a:solidFill>
              <a:latin typeface="ＭＳ 明朝" panose="02020609040205080304" pitchFamily="17" charset="-128"/>
              <a:ea typeface="ＭＳ 明朝" panose="02020609040205080304" pitchFamily="17" charset="-128"/>
            </a:rPr>
            <a:t>　★②参加費を請求する場合は、領収書（原本）</a:t>
          </a:r>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800">
              <a:solidFill>
                <a:sysClr val="windowText" lastClr="000000"/>
              </a:solidFill>
              <a:latin typeface="ＭＳ 明朝" panose="02020609040205080304" pitchFamily="17" charset="-128"/>
              <a:ea typeface="ＭＳ 明朝" panose="02020609040205080304" pitchFamily="17" charset="-128"/>
            </a:rPr>
            <a:t>　★③参加費を請求する場合は、参加費の内訳が記載された資料</a:t>
          </a:r>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a:p>
          <a:pPr algn="l"/>
          <a:r>
            <a:rPr kumimoji="1" lang="en-US" altLang="ja-JP" sz="800">
              <a:solidFill>
                <a:sysClr val="windowText" lastClr="000000"/>
              </a:solidFill>
              <a:latin typeface="ＭＳ 明朝" panose="02020609040205080304" pitchFamily="17" charset="-128"/>
              <a:ea typeface="ＭＳ 明朝" panose="02020609040205080304" pitchFamily="17" charset="-128"/>
            </a:rPr>
            <a:t>(2) </a:t>
          </a:r>
          <a:r>
            <a:rPr kumimoji="1" lang="ja-JP" altLang="en-US" sz="800">
              <a:solidFill>
                <a:sysClr val="windowText" lastClr="000000"/>
              </a:solidFill>
              <a:latin typeface="ＭＳ 明朝" panose="02020609040205080304" pitchFamily="17" charset="-128"/>
              <a:ea typeface="ＭＳ 明朝" panose="02020609040205080304" pitchFamily="17" charset="-128"/>
            </a:rPr>
            <a:t>航空機を利用した場合、次の３点を添付してください。</a:t>
          </a:r>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800">
              <a:solidFill>
                <a:sysClr val="windowText" lastClr="000000"/>
              </a:solidFill>
              <a:latin typeface="ＭＳ 明朝" panose="02020609040205080304" pitchFamily="17" charset="-128"/>
              <a:ea typeface="ＭＳ 明朝" panose="02020609040205080304" pitchFamily="17" charset="-128"/>
            </a:rPr>
            <a:t>　　①搭乗券の半券</a:t>
          </a:r>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800">
              <a:solidFill>
                <a:sysClr val="windowText" lastClr="000000"/>
              </a:solidFill>
              <a:latin typeface="ＭＳ 明朝" panose="02020609040205080304" pitchFamily="17" charset="-128"/>
              <a:ea typeface="ＭＳ 明朝" panose="02020609040205080304" pitchFamily="17" charset="-128"/>
            </a:rPr>
            <a:t>　　②航空運賃の領収書</a:t>
          </a:r>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800">
              <a:solidFill>
                <a:sysClr val="windowText" lastClr="000000"/>
              </a:solidFill>
              <a:latin typeface="ＭＳ 明朝" panose="02020609040205080304" pitchFamily="17" charset="-128"/>
              <a:ea typeface="ＭＳ 明朝" panose="02020609040205080304" pitchFamily="17" charset="-128"/>
            </a:rPr>
            <a:t>　★③航空機の利用内容が記載された資料（フライト情報、座席クラス等）</a:t>
          </a:r>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a:p>
          <a:pPr algn="l"/>
          <a:r>
            <a:rPr kumimoji="1" lang="en-US" altLang="ja-JP" sz="800">
              <a:solidFill>
                <a:sysClr val="windowText" lastClr="000000"/>
              </a:solidFill>
              <a:latin typeface="ＭＳ 明朝" panose="02020609040205080304" pitchFamily="17" charset="-128"/>
              <a:ea typeface="ＭＳ 明朝" panose="02020609040205080304" pitchFamily="17" charset="-128"/>
            </a:rPr>
            <a:t>(3) </a:t>
          </a:r>
          <a:r>
            <a:rPr kumimoji="1" lang="ja-JP" altLang="en-US" sz="800">
              <a:solidFill>
                <a:sysClr val="windowText" lastClr="000000"/>
              </a:solidFill>
              <a:latin typeface="ＭＳ 明朝" panose="02020609040205080304" pitchFamily="17" charset="-128"/>
              <a:ea typeface="ＭＳ 明朝" panose="02020609040205080304" pitchFamily="17" charset="-128"/>
            </a:rPr>
            <a:t>仮払いの際に、事前に上記★印の書類を提出済みである場合は、再度提出する必要はありません。</a:t>
          </a:r>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a:p>
          <a:pPr algn="l"/>
          <a:r>
            <a:rPr kumimoji="1" lang="en-US" altLang="ja-JP" sz="800">
              <a:solidFill>
                <a:sysClr val="windowText" lastClr="000000"/>
              </a:solidFill>
              <a:latin typeface="ＭＳ 明朝" panose="02020609040205080304" pitchFamily="17" charset="-128"/>
              <a:ea typeface="ＭＳ 明朝" panose="02020609040205080304" pitchFamily="17" charset="-128"/>
            </a:rPr>
            <a:t>(4) </a:t>
          </a:r>
          <a:r>
            <a:rPr kumimoji="1" lang="ja-JP" altLang="en-US" sz="800">
              <a:solidFill>
                <a:sysClr val="windowText" lastClr="000000"/>
              </a:solidFill>
              <a:latin typeface="ＭＳ 明朝" panose="02020609040205080304" pitchFamily="17" charset="-128"/>
              <a:ea typeface="ＭＳ 明朝" panose="02020609040205080304" pitchFamily="17" charset="-128"/>
            </a:rPr>
            <a:t>宿泊料（国内）の領収書（原本）を添付してください。</a:t>
          </a:r>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a:p>
          <a:pPr algn="l"/>
          <a:r>
            <a:rPr kumimoji="1" lang="en-US" altLang="ja-JP" sz="800">
              <a:solidFill>
                <a:sysClr val="windowText" lastClr="000000"/>
              </a:solidFill>
              <a:latin typeface="ＭＳ 明朝" panose="02020609040205080304" pitchFamily="17" charset="-128"/>
              <a:ea typeface="ＭＳ 明朝" panose="02020609040205080304" pitchFamily="17" charset="-128"/>
            </a:rPr>
            <a:t>(5) </a:t>
          </a:r>
          <a:r>
            <a:rPr kumimoji="1" lang="ja-JP" altLang="en-US" sz="800">
              <a:solidFill>
                <a:sysClr val="windowText" lastClr="000000"/>
              </a:solidFill>
              <a:latin typeface="ＭＳ 明朝" panose="02020609040205080304" pitchFamily="17" charset="-128"/>
              <a:ea typeface="ＭＳ 明朝" panose="02020609040205080304" pitchFamily="17" charset="-128"/>
            </a:rPr>
            <a:t>旅費を請求しない場合は、上記</a:t>
          </a:r>
          <a:r>
            <a:rPr kumimoji="1" lang="en-US" altLang="ja-JP" sz="800">
              <a:solidFill>
                <a:sysClr val="windowText" lastClr="000000"/>
              </a:solidFill>
              <a:latin typeface="ＭＳ 明朝" panose="02020609040205080304" pitchFamily="17" charset="-128"/>
              <a:ea typeface="ＭＳ 明朝" panose="02020609040205080304" pitchFamily="17" charset="-128"/>
            </a:rPr>
            <a:t>(2)③</a:t>
          </a:r>
          <a:r>
            <a:rPr kumimoji="1" lang="ja-JP" altLang="en-US" sz="800">
              <a:solidFill>
                <a:sysClr val="windowText" lastClr="000000"/>
              </a:solidFill>
              <a:latin typeface="ＭＳ 明朝" panose="02020609040205080304" pitchFamily="17" charset="-128"/>
              <a:ea typeface="ＭＳ 明朝" panose="02020609040205080304" pitchFamily="17" charset="-128"/>
            </a:rPr>
            <a:t>のみ提出が必要となります。</a:t>
          </a:r>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a:p>
          <a:pPr algn="l"/>
          <a:r>
            <a:rPr kumimoji="1" lang="en-US" altLang="ja-JP" sz="800">
              <a:solidFill>
                <a:sysClr val="windowText" lastClr="000000"/>
              </a:solidFill>
              <a:effectLst/>
              <a:latin typeface="ＭＳ 明朝" panose="02020609040205080304" pitchFamily="17" charset="-128"/>
              <a:ea typeface="ＭＳ 明朝" panose="02020609040205080304" pitchFamily="17" charset="-128"/>
              <a:cs typeface="+mn-cs"/>
            </a:rPr>
            <a:t>(6) </a:t>
          </a:r>
          <a:r>
            <a:rPr kumimoji="1" lang="ja-JP" altLang="en-US" sz="800">
              <a:solidFill>
                <a:sysClr val="windowText" lastClr="000000"/>
              </a:solidFill>
              <a:latin typeface="ＭＳ 明朝" panose="02020609040205080304" pitchFamily="17" charset="-128"/>
              <a:ea typeface="ＭＳ 明朝" panose="02020609040205080304" pitchFamily="17" charset="-128"/>
            </a:rPr>
            <a:t>上記の他、追加で添付書類が必要となることがあります。</a:t>
          </a:r>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0</xdr:col>
      <xdr:colOff>0</xdr:colOff>
      <xdr:row>61</xdr:row>
      <xdr:rowOff>1</xdr:rowOff>
    </xdr:from>
    <xdr:to>
      <xdr:col>39</xdr:col>
      <xdr:colOff>114299</xdr:colOff>
      <xdr:row>70</xdr:row>
      <xdr:rowOff>114300</xdr:rowOff>
    </xdr:to>
    <xdr:sp macro="" textlink="">
      <xdr:nvSpPr>
        <xdr:cNvPr id="24" name="正方形/長方形 23">
          <a:extLst>
            <a:ext uri="{FF2B5EF4-FFF2-40B4-BE49-F238E27FC236}">
              <a16:creationId xmlns:a16="http://schemas.microsoft.com/office/drawing/2014/main" id="{00000000-0008-0000-0300-000018000000}"/>
            </a:ext>
          </a:extLst>
        </xdr:cNvPr>
        <xdr:cNvSpPr/>
      </xdr:nvSpPr>
      <xdr:spPr>
        <a:xfrm>
          <a:off x="0" y="11826241"/>
          <a:ext cx="6088379" cy="179831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ＭＳ 明朝" panose="02020609040205080304" pitchFamily="17" charset="-128"/>
              <a:ea typeface="ＭＳ 明朝" panose="02020609040205080304" pitchFamily="17" charset="-128"/>
            </a:rPr>
            <a:t>◆記入に関する注意事項</a:t>
          </a:r>
        </a:p>
        <a:p>
          <a:pPr algn="l"/>
          <a:r>
            <a:rPr kumimoji="1" lang="en-US" altLang="ja-JP" sz="800">
              <a:solidFill>
                <a:sysClr val="windowText" lastClr="000000"/>
              </a:solidFill>
              <a:latin typeface="ＭＳ 明朝" panose="02020609040205080304" pitchFamily="17" charset="-128"/>
              <a:ea typeface="ＭＳ 明朝" panose="02020609040205080304" pitchFamily="17" charset="-128"/>
            </a:rPr>
            <a:t>※1 </a:t>
          </a:r>
          <a:r>
            <a:rPr kumimoji="1" lang="ja-JP" altLang="en-US" sz="800">
              <a:solidFill>
                <a:sysClr val="windowText" lastClr="000000"/>
              </a:solidFill>
              <a:latin typeface="ＭＳ 明朝" panose="02020609040205080304" pitchFamily="17" charset="-128"/>
              <a:ea typeface="ＭＳ 明朝" panose="02020609040205080304" pitchFamily="17" charset="-128"/>
            </a:rPr>
            <a:t>最寄駅及び定期区間は「鉄道会社／駅名」又は「バス会社／バス停名」を記入してください。</a:t>
          </a:r>
        </a:p>
        <a:p>
          <a:pPr algn="l"/>
          <a:r>
            <a:rPr kumimoji="1" lang="en-US" altLang="ja-JP" sz="800">
              <a:solidFill>
                <a:sysClr val="windowText" lastClr="000000"/>
              </a:solidFill>
              <a:latin typeface="ＭＳ 明朝" panose="02020609040205080304" pitchFamily="17" charset="-128"/>
              <a:ea typeface="ＭＳ 明朝" panose="02020609040205080304" pitchFamily="17" charset="-128"/>
            </a:rPr>
            <a:t>※2 </a:t>
          </a:r>
          <a:r>
            <a:rPr kumimoji="1" lang="ja-JP" altLang="en-US" sz="800">
              <a:solidFill>
                <a:sysClr val="windowText" lastClr="000000"/>
              </a:solidFill>
              <a:latin typeface="ＭＳ 明朝" panose="02020609040205080304" pitchFamily="17" charset="-128"/>
              <a:ea typeface="ＭＳ 明朝" panose="02020609040205080304" pitchFamily="17" charset="-128"/>
            </a:rPr>
            <a:t>旅行命令上申書で申請した内容から旅行期間・金額・財源等の変更があった場合に、詳細を記入してください。</a:t>
          </a:r>
        </a:p>
        <a:p>
          <a:pPr algn="l"/>
          <a:r>
            <a:rPr kumimoji="1" lang="en-US" altLang="ja-JP" sz="800">
              <a:solidFill>
                <a:sysClr val="windowText" lastClr="000000"/>
              </a:solidFill>
              <a:latin typeface="ＭＳ 明朝" panose="02020609040205080304" pitchFamily="17" charset="-128"/>
              <a:ea typeface="ＭＳ 明朝" panose="02020609040205080304" pitchFamily="17" charset="-128"/>
            </a:rPr>
            <a:t>※3 </a:t>
          </a:r>
          <a:r>
            <a:rPr kumimoji="1" lang="ja-JP" altLang="en-US" sz="800">
              <a:solidFill>
                <a:sysClr val="windowText" lastClr="000000"/>
              </a:solidFill>
              <a:latin typeface="ＭＳ 明朝" panose="02020609040205080304" pitchFamily="17" charset="-128"/>
              <a:ea typeface="ＭＳ 明朝" panose="02020609040205080304" pitchFamily="17" charset="-128"/>
            </a:rPr>
            <a:t>旅行期間中の休日に業務を行う場合は、休日振替又は超過勤務の手続きが必要です。</a:t>
          </a:r>
        </a:p>
        <a:p>
          <a:pPr algn="l"/>
          <a:r>
            <a:rPr kumimoji="1" lang="ja-JP" altLang="en-US" sz="800">
              <a:solidFill>
                <a:sysClr val="windowText" lastClr="000000"/>
              </a:solidFill>
              <a:latin typeface="ＭＳ 明朝" panose="02020609040205080304" pitchFamily="17" charset="-128"/>
              <a:ea typeface="ＭＳ 明朝" panose="02020609040205080304" pitchFamily="17" charset="-128"/>
            </a:rPr>
            <a:t>　「休日振替申請書」 又は 「超過勤務（休日）命令／夜間勤務申請簿」を必ず提出してください。</a:t>
          </a:r>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800">
              <a:solidFill>
                <a:sysClr val="windowText" lastClr="000000"/>
              </a:solidFill>
              <a:latin typeface="ＭＳ 明朝" panose="02020609040205080304" pitchFamily="17" charset="-128"/>
              <a:ea typeface="ＭＳ 明朝" panose="02020609040205080304" pitchFamily="17" charset="-128"/>
            </a:rPr>
            <a:t>　ただし、休日における終日移動の場合は不要です。</a:t>
          </a:r>
        </a:p>
        <a:p>
          <a:pPr algn="l"/>
          <a:r>
            <a:rPr kumimoji="1" lang="en-US" altLang="ja-JP" sz="800">
              <a:solidFill>
                <a:sysClr val="windowText" lastClr="000000"/>
              </a:solidFill>
              <a:latin typeface="ＭＳ 明朝" panose="02020609040205080304" pitchFamily="17" charset="-128"/>
              <a:ea typeface="ＭＳ 明朝" panose="02020609040205080304" pitchFamily="17" charset="-128"/>
            </a:rPr>
            <a:t>※4 </a:t>
          </a:r>
          <a:r>
            <a:rPr kumimoji="1" lang="ja-JP" altLang="en-US" sz="800">
              <a:solidFill>
                <a:sysClr val="windowText" lastClr="000000"/>
              </a:solidFill>
              <a:latin typeface="ＭＳ 明朝" panose="02020609040205080304" pitchFamily="17" charset="-128"/>
              <a:ea typeface="ＭＳ 明朝" panose="02020609040205080304" pitchFamily="17" charset="-128"/>
            </a:rPr>
            <a:t>仮払いを希望する場合は、原則として、仮払い額（事前算出額）と仮払い精算額（事後の確定額）が同額となるようにして</a:t>
          </a:r>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800">
              <a:solidFill>
                <a:sysClr val="windowText" lastClr="000000"/>
              </a:solidFill>
              <a:latin typeface="ＭＳ 明朝" panose="02020609040205080304" pitchFamily="17" charset="-128"/>
              <a:ea typeface="ＭＳ 明朝" panose="02020609040205080304" pitchFamily="17" charset="-128"/>
            </a:rPr>
            <a:t>　　ください。</a:t>
          </a:r>
        </a:p>
        <a:p>
          <a:pPr algn="l"/>
          <a:r>
            <a:rPr kumimoji="1" lang="en-US" altLang="ja-JP" sz="800">
              <a:solidFill>
                <a:sysClr val="windowText" lastClr="000000"/>
              </a:solidFill>
              <a:latin typeface="ＭＳ 明朝" panose="02020609040205080304" pitchFamily="17" charset="-128"/>
              <a:ea typeface="ＭＳ 明朝" panose="02020609040205080304" pitchFamily="17" charset="-128"/>
            </a:rPr>
            <a:t>※5 </a:t>
          </a:r>
          <a:r>
            <a:rPr kumimoji="1" lang="ja-JP" altLang="en-US" sz="800">
              <a:solidFill>
                <a:sysClr val="windowText" lastClr="000000"/>
              </a:solidFill>
              <a:latin typeface="ＭＳ 明朝" panose="02020609040205080304" pitchFamily="17" charset="-128"/>
              <a:ea typeface="ＭＳ 明朝" panose="02020609040205080304" pitchFamily="17" charset="-128"/>
            </a:rPr>
            <a:t>打切請求（一部支給）がある場合は、希望する支払総額又は調整額（例「調整額：</a:t>
          </a:r>
          <a:r>
            <a:rPr kumimoji="1" lang="en-US" altLang="ja-JP" sz="800">
              <a:solidFill>
                <a:sysClr val="windowText" lastClr="000000"/>
              </a:solidFill>
              <a:latin typeface="ＭＳ 明朝" panose="02020609040205080304" pitchFamily="17" charset="-128"/>
              <a:ea typeface="ＭＳ 明朝" panose="02020609040205080304" pitchFamily="17" charset="-128"/>
            </a:rPr>
            <a:t>- 500</a:t>
          </a:r>
          <a:r>
            <a:rPr kumimoji="1" lang="ja-JP" altLang="en-US" sz="800">
              <a:solidFill>
                <a:sysClr val="windowText" lastClr="000000"/>
              </a:solidFill>
              <a:latin typeface="ＭＳ 明朝" panose="02020609040205080304" pitchFamily="17" charset="-128"/>
              <a:ea typeface="ＭＳ 明朝" panose="02020609040205080304" pitchFamily="17" charset="-128"/>
            </a:rPr>
            <a:t>円」）を備考欄に記入してください。</a:t>
          </a:r>
        </a:p>
        <a:p>
          <a:pPr algn="l"/>
          <a:r>
            <a:rPr kumimoji="1" lang="ja-JP" altLang="en-US" sz="800">
              <a:solidFill>
                <a:sysClr val="windowText" lastClr="000000"/>
              </a:solidFill>
              <a:latin typeface="ＭＳ 明朝" panose="02020609040205080304" pitchFamily="17" charset="-128"/>
              <a:ea typeface="ＭＳ 明朝" panose="02020609040205080304" pitchFamily="17" charset="-128"/>
            </a:rPr>
            <a:t>　　国内の移動にかかる旅費を請求する場合で、国内移動に空港バス等を利用した場合は、備考欄に記入してください。</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sv01\home\h21042r\Desktop\&#26053;&#34892;&#21629;&#20196;&#19978;&#30003;&#26360;&#65288;&#22269;&#22806;&#26053;&#34892;&#65289;&#12304;&#25945;&#32887;&#21729;&#29992;&#1230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旅行命令上申書（国外旅行"/>
      <sheetName val="旅行報告書兼精算依頼書 （国外旅行"/>
      <sheetName val="記入例 （国外旅行"/>
    </sheetNames>
    <sheetDataSet>
      <sheetData sheetId="0">
        <row r="8">
          <cell r="G8" t="str">
            <v>大阪公立大学工業高等専門学校</v>
          </cell>
        </row>
        <row r="35">
          <cell r="BC35" t="str">
            <v>□</v>
          </cell>
        </row>
        <row r="42">
          <cell r="O42" t="str">
            <v>(選択してください)</v>
          </cell>
        </row>
        <row r="48">
          <cell r="G48" t="str">
            <v>□</v>
          </cell>
          <cell r="O48" t="str">
            <v>□</v>
          </cell>
        </row>
        <row r="49">
          <cell r="G49" t="str">
            <v>□</v>
          </cell>
          <cell r="O49" t="str">
            <v>□</v>
          </cell>
          <cell r="W49" t="str">
            <v>□</v>
          </cell>
        </row>
        <row r="50">
          <cell r="G50" t="str">
            <v>□</v>
          </cell>
          <cell r="O50" t="str">
            <v>□</v>
          </cell>
          <cell r="W50" t="str">
            <v>□</v>
          </cell>
        </row>
        <row r="51">
          <cell r="G51" t="str">
            <v>□</v>
          </cell>
        </row>
        <row r="55">
          <cell r="G55" t="str">
            <v>□</v>
          </cell>
        </row>
      </sheetData>
      <sheetData sheetId="1" refreshError="1"/>
      <sheetData sheetId="2"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7.xml"/><Relationship Id="rId13" Type="http://schemas.openxmlformats.org/officeDocument/2006/relationships/ctrlProp" Target="../ctrlProps/ctrlProp12.xml"/><Relationship Id="rId3" Type="http://schemas.openxmlformats.org/officeDocument/2006/relationships/vmlDrawing" Target="../drawings/vmlDrawing3.vml"/><Relationship Id="rId7" Type="http://schemas.openxmlformats.org/officeDocument/2006/relationships/ctrlProp" Target="../ctrlProps/ctrlProp6.xml"/><Relationship Id="rId12" Type="http://schemas.openxmlformats.org/officeDocument/2006/relationships/ctrlProp" Target="../ctrlProps/ctrlProp11.xml"/><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ctrlProp" Target="../ctrlProps/ctrlProp5.xml"/><Relationship Id="rId11" Type="http://schemas.openxmlformats.org/officeDocument/2006/relationships/ctrlProp" Target="../ctrlProps/ctrlProp10.xml"/><Relationship Id="rId5" Type="http://schemas.openxmlformats.org/officeDocument/2006/relationships/ctrlProp" Target="../ctrlProps/ctrlProp4.xml"/><Relationship Id="rId10" Type="http://schemas.openxmlformats.org/officeDocument/2006/relationships/ctrlProp" Target="../ctrlProps/ctrlProp9.xml"/><Relationship Id="rId4" Type="http://schemas.openxmlformats.org/officeDocument/2006/relationships/ctrlProp" Target="../ctrlProps/ctrlProp3.xml"/><Relationship Id="rId9" Type="http://schemas.openxmlformats.org/officeDocument/2006/relationships/ctrlProp" Target="../ctrlProps/ctrlProp8.xml"/><Relationship Id="rId14" Type="http://schemas.openxmlformats.org/officeDocument/2006/relationships/ctrlProp" Target="../ctrlProps/ctrlProp13.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18.xml"/><Relationship Id="rId13" Type="http://schemas.openxmlformats.org/officeDocument/2006/relationships/ctrlProp" Target="../ctrlProps/ctrlProp23.xml"/><Relationship Id="rId3" Type="http://schemas.openxmlformats.org/officeDocument/2006/relationships/vmlDrawing" Target="../drawings/vmlDrawing4.vml"/><Relationship Id="rId7" Type="http://schemas.openxmlformats.org/officeDocument/2006/relationships/ctrlProp" Target="../ctrlProps/ctrlProp17.xml"/><Relationship Id="rId12" Type="http://schemas.openxmlformats.org/officeDocument/2006/relationships/ctrlProp" Target="../ctrlProps/ctrlProp22.xml"/><Relationship Id="rId17" Type="http://schemas.openxmlformats.org/officeDocument/2006/relationships/ctrlProp" Target="../ctrlProps/ctrlProp27.xml"/><Relationship Id="rId2" Type="http://schemas.openxmlformats.org/officeDocument/2006/relationships/drawing" Target="../drawings/drawing3.xml"/><Relationship Id="rId16" Type="http://schemas.openxmlformats.org/officeDocument/2006/relationships/ctrlProp" Target="../ctrlProps/ctrlProp26.xml"/><Relationship Id="rId1" Type="http://schemas.openxmlformats.org/officeDocument/2006/relationships/printerSettings" Target="../printerSettings/printerSettings4.bin"/><Relationship Id="rId6" Type="http://schemas.openxmlformats.org/officeDocument/2006/relationships/ctrlProp" Target="../ctrlProps/ctrlProp16.xml"/><Relationship Id="rId11" Type="http://schemas.openxmlformats.org/officeDocument/2006/relationships/ctrlProp" Target="../ctrlProps/ctrlProp21.xml"/><Relationship Id="rId5" Type="http://schemas.openxmlformats.org/officeDocument/2006/relationships/ctrlProp" Target="../ctrlProps/ctrlProp15.xml"/><Relationship Id="rId15" Type="http://schemas.openxmlformats.org/officeDocument/2006/relationships/ctrlProp" Target="../ctrlProps/ctrlProp25.xml"/><Relationship Id="rId10" Type="http://schemas.openxmlformats.org/officeDocument/2006/relationships/ctrlProp" Target="../ctrlProps/ctrlProp20.xml"/><Relationship Id="rId4" Type="http://schemas.openxmlformats.org/officeDocument/2006/relationships/ctrlProp" Target="../ctrlProps/ctrlProp14.xml"/><Relationship Id="rId9" Type="http://schemas.openxmlformats.org/officeDocument/2006/relationships/ctrlProp" Target="../ctrlProps/ctrlProp19.xml"/><Relationship Id="rId14" Type="http://schemas.openxmlformats.org/officeDocument/2006/relationships/ctrlProp" Target="../ctrlProps/ctrlProp2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4.xml"/><Relationship Id="rId1" Type="http://schemas.openxmlformats.org/officeDocument/2006/relationships/printerSettings" Target="../printerSettings/printerSettings6.bin"/><Relationship Id="rId6" Type="http://schemas.openxmlformats.org/officeDocument/2006/relationships/comments" Target="../comments4.xml"/><Relationship Id="rId5" Type="http://schemas.openxmlformats.org/officeDocument/2006/relationships/ctrlProp" Target="../ctrlProps/ctrlProp29.xml"/><Relationship Id="rId4" Type="http://schemas.openxmlformats.org/officeDocument/2006/relationships/ctrlProp" Target="../ctrlProps/ctrlProp28.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34.xml"/><Relationship Id="rId13" Type="http://schemas.openxmlformats.org/officeDocument/2006/relationships/ctrlProp" Target="../ctrlProps/ctrlProp39.xml"/><Relationship Id="rId18" Type="http://schemas.openxmlformats.org/officeDocument/2006/relationships/ctrlProp" Target="../ctrlProps/ctrlProp44.xml"/><Relationship Id="rId3" Type="http://schemas.openxmlformats.org/officeDocument/2006/relationships/vmlDrawing" Target="../drawings/vmlDrawing7.vml"/><Relationship Id="rId21" Type="http://schemas.openxmlformats.org/officeDocument/2006/relationships/ctrlProp" Target="../ctrlProps/ctrlProp47.xml"/><Relationship Id="rId7" Type="http://schemas.openxmlformats.org/officeDocument/2006/relationships/ctrlProp" Target="../ctrlProps/ctrlProp33.xml"/><Relationship Id="rId12" Type="http://schemas.openxmlformats.org/officeDocument/2006/relationships/ctrlProp" Target="../ctrlProps/ctrlProp38.xml"/><Relationship Id="rId17" Type="http://schemas.openxmlformats.org/officeDocument/2006/relationships/ctrlProp" Target="../ctrlProps/ctrlProp43.xml"/><Relationship Id="rId25" Type="http://schemas.openxmlformats.org/officeDocument/2006/relationships/comments" Target="../comments5.xml"/><Relationship Id="rId2" Type="http://schemas.openxmlformats.org/officeDocument/2006/relationships/drawing" Target="../drawings/drawing5.xml"/><Relationship Id="rId16" Type="http://schemas.openxmlformats.org/officeDocument/2006/relationships/ctrlProp" Target="../ctrlProps/ctrlProp42.xml"/><Relationship Id="rId20" Type="http://schemas.openxmlformats.org/officeDocument/2006/relationships/ctrlProp" Target="../ctrlProps/ctrlProp46.xml"/><Relationship Id="rId1" Type="http://schemas.openxmlformats.org/officeDocument/2006/relationships/printerSettings" Target="../printerSettings/printerSettings7.bin"/><Relationship Id="rId6" Type="http://schemas.openxmlformats.org/officeDocument/2006/relationships/ctrlProp" Target="../ctrlProps/ctrlProp32.xml"/><Relationship Id="rId11" Type="http://schemas.openxmlformats.org/officeDocument/2006/relationships/ctrlProp" Target="../ctrlProps/ctrlProp37.xml"/><Relationship Id="rId24" Type="http://schemas.openxmlformats.org/officeDocument/2006/relationships/ctrlProp" Target="../ctrlProps/ctrlProp50.xml"/><Relationship Id="rId5" Type="http://schemas.openxmlformats.org/officeDocument/2006/relationships/ctrlProp" Target="../ctrlProps/ctrlProp31.xml"/><Relationship Id="rId15" Type="http://schemas.openxmlformats.org/officeDocument/2006/relationships/ctrlProp" Target="../ctrlProps/ctrlProp41.xml"/><Relationship Id="rId23" Type="http://schemas.openxmlformats.org/officeDocument/2006/relationships/ctrlProp" Target="../ctrlProps/ctrlProp49.xml"/><Relationship Id="rId10" Type="http://schemas.openxmlformats.org/officeDocument/2006/relationships/ctrlProp" Target="../ctrlProps/ctrlProp36.xml"/><Relationship Id="rId19" Type="http://schemas.openxmlformats.org/officeDocument/2006/relationships/ctrlProp" Target="../ctrlProps/ctrlProp45.xml"/><Relationship Id="rId4" Type="http://schemas.openxmlformats.org/officeDocument/2006/relationships/ctrlProp" Target="../ctrlProps/ctrlProp30.xml"/><Relationship Id="rId9" Type="http://schemas.openxmlformats.org/officeDocument/2006/relationships/ctrlProp" Target="../ctrlProps/ctrlProp35.xml"/><Relationship Id="rId14" Type="http://schemas.openxmlformats.org/officeDocument/2006/relationships/ctrlProp" Target="../ctrlProps/ctrlProp40.xml"/><Relationship Id="rId22" Type="http://schemas.openxmlformats.org/officeDocument/2006/relationships/ctrlProp" Target="../ctrlProps/ctrlProp4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W67"/>
  <sheetViews>
    <sheetView tabSelected="1" view="pageBreakPreview" zoomScaleNormal="100" zoomScaleSheetLayoutView="100" workbookViewId="0">
      <selection activeCell="C4" sqref="C4"/>
    </sheetView>
  </sheetViews>
  <sheetFormatPr defaultColWidth="1.8984375" defaultRowHeight="13.2"/>
  <cols>
    <col min="1" max="1" width="2" style="2" customWidth="1"/>
    <col min="2" max="2" width="2.3984375" style="2" customWidth="1"/>
    <col min="3" max="66" width="2" style="2" customWidth="1"/>
    <col min="67" max="16384" width="1.8984375" style="2"/>
  </cols>
  <sheetData>
    <row r="1" spans="1:66" ht="12.75" customHeight="1">
      <c r="A1" s="123" t="s">
        <v>68</v>
      </c>
      <c r="B1" s="123"/>
      <c r="C1" s="123"/>
      <c r="D1" s="123"/>
      <c r="E1" s="123"/>
      <c r="F1" s="124" t="s">
        <v>45</v>
      </c>
      <c r="G1" s="124"/>
      <c r="H1" s="124"/>
      <c r="I1" s="124"/>
      <c r="J1" s="124"/>
      <c r="K1" s="124"/>
      <c r="M1" s="1"/>
      <c r="N1" s="1"/>
      <c r="O1" s="1"/>
      <c r="R1" s="1"/>
      <c r="S1" s="1"/>
      <c r="T1" s="1"/>
      <c r="U1" s="246" t="s">
        <v>69</v>
      </c>
      <c r="V1" s="246"/>
      <c r="W1" s="246"/>
      <c r="X1" s="246"/>
      <c r="Y1" s="246"/>
      <c r="Z1" s="246"/>
      <c r="AA1" s="246"/>
      <c r="AB1" s="246"/>
      <c r="AC1" s="246"/>
      <c r="AD1" s="246"/>
      <c r="AE1" s="246"/>
      <c r="AF1" s="246"/>
      <c r="AG1" s="246"/>
      <c r="AH1" s="246"/>
      <c r="AI1" s="246"/>
      <c r="AJ1" s="246"/>
      <c r="AK1" s="246"/>
      <c r="AL1" s="246"/>
      <c r="AM1" s="246"/>
      <c r="AN1" s="246"/>
      <c r="AO1" s="246"/>
      <c r="AP1" s="1"/>
      <c r="AQ1" s="22"/>
      <c r="AR1" s="247" t="s">
        <v>9</v>
      </c>
      <c r="AS1" s="248"/>
      <c r="AT1" s="248"/>
      <c r="AU1" s="248"/>
      <c r="AV1" s="249"/>
      <c r="AX1" s="250" t="s">
        <v>38</v>
      </c>
      <c r="AY1" s="237" t="s">
        <v>6</v>
      </c>
      <c r="AZ1" s="98"/>
      <c r="BA1" s="98"/>
      <c r="BB1" s="238"/>
      <c r="BC1" s="231" t="s">
        <v>10</v>
      </c>
      <c r="BD1" s="231"/>
      <c r="BE1" s="231"/>
      <c r="BF1" s="231"/>
      <c r="BG1" s="231" t="s">
        <v>5</v>
      </c>
      <c r="BH1" s="231"/>
      <c r="BI1" s="231"/>
      <c r="BJ1" s="231"/>
      <c r="BK1" s="231" t="s">
        <v>4</v>
      </c>
      <c r="BL1" s="231"/>
      <c r="BM1" s="231"/>
      <c r="BN1" s="231"/>
    </row>
    <row r="2" spans="1:66" ht="12.75" customHeight="1">
      <c r="A2" s="123"/>
      <c r="B2" s="123"/>
      <c r="C2" s="123"/>
      <c r="D2" s="123"/>
      <c r="E2" s="123"/>
      <c r="F2" s="124"/>
      <c r="G2" s="124"/>
      <c r="H2" s="124"/>
      <c r="I2" s="124"/>
      <c r="J2" s="124"/>
      <c r="K2" s="124"/>
      <c r="L2" s="1"/>
      <c r="M2" s="1"/>
      <c r="N2" s="1"/>
      <c r="O2" s="1"/>
      <c r="P2" s="1"/>
      <c r="Q2" s="1"/>
      <c r="R2" s="1"/>
      <c r="S2" s="1"/>
      <c r="T2" s="1"/>
      <c r="U2" s="246"/>
      <c r="V2" s="246"/>
      <c r="W2" s="246"/>
      <c r="X2" s="246"/>
      <c r="Y2" s="246"/>
      <c r="Z2" s="246"/>
      <c r="AA2" s="246"/>
      <c r="AB2" s="246"/>
      <c r="AC2" s="246"/>
      <c r="AD2" s="246"/>
      <c r="AE2" s="246"/>
      <c r="AF2" s="246"/>
      <c r="AG2" s="246"/>
      <c r="AH2" s="246"/>
      <c r="AI2" s="246"/>
      <c r="AJ2" s="246"/>
      <c r="AK2" s="246"/>
      <c r="AL2" s="246"/>
      <c r="AM2" s="246"/>
      <c r="AN2" s="246"/>
      <c r="AO2" s="246"/>
      <c r="AP2" s="1"/>
      <c r="AQ2" s="22"/>
      <c r="AR2" s="237"/>
      <c r="AS2" s="98"/>
      <c r="AT2" s="98"/>
      <c r="AU2" s="98"/>
      <c r="AV2" s="238"/>
      <c r="AX2" s="251"/>
      <c r="AY2" s="245"/>
      <c r="AZ2" s="245"/>
      <c r="BA2" s="245"/>
      <c r="BB2" s="245"/>
      <c r="BC2" s="245"/>
      <c r="BD2" s="245"/>
      <c r="BE2" s="245"/>
      <c r="BF2" s="245"/>
      <c r="BG2" s="245"/>
      <c r="BH2" s="245"/>
      <c r="BI2" s="245"/>
      <c r="BJ2" s="245"/>
      <c r="BK2" s="245"/>
      <c r="BL2" s="245"/>
      <c r="BM2" s="245"/>
      <c r="BN2" s="245"/>
    </row>
    <row r="3" spans="1:66" ht="13.2" customHeight="1">
      <c r="G3" s="7"/>
      <c r="H3" s="7"/>
      <c r="I3" s="7"/>
      <c r="J3" s="7"/>
      <c r="K3" s="7"/>
      <c r="L3" s="1"/>
      <c r="M3" s="1"/>
      <c r="N3" s="1"/>
      <c r="O3" s="1"/>
      <c r="P3" s="1"/>
      <c r="Q3" s="1"/>
      <c r="R3" s="1"/>
      <c r="S3" s="1"/>
      <c r="T3" s="1"/>
      <c r="U3" s="246"/>
      <c r="V3" s="246"/>
      <c r="W3" s="246"/>
      <c r="X3" s="246"/>
      <c r="Y3" s="246"/>
      <c r="Z3" s="246"/>
      <c r="AA3" s="246"/>
      <c r="AB3" s="246"/>
      <c r="AC3" s="246"/>
      <c r="AD3" s="246"/>
      <c r="AE3" s="246"/>
      <c r="AF3" s="246"/>
      <c r="AG3" s="246"/>
      <c r="AH3" s="246"/>
      <c r="AI3" s="246"/>
      <c r="AJ3" s="246"/>
      <c r="AK3" s="246"/>
      <c r="AL3" s="246"/>
      <c r="AM3" s="246"/>
      <c r="AN3" s="246"/>
      <c r="AO3" s="246"/>
      <c r="AP3" s="1"/>
      <c r="AQ3" s="22"/>
      <c r="AR3" s="242"/>
      <c r="AS3" s="243"/>
      <c r="AT3" s="243"/>
      <c r="AU3" s="243"/>
      <c r="AV3" s="244"/>
      <c r="AX3" s="251"/>
      <c r="AY3" s="245"/>
      <c r="AZ3" s="245"/>
      <c r="BA3" s="245"/>
      <c r="BB3" s="245"/>
      <c r="BC3" s="245"/>
      <c r="BD3" s="245"/>
      <c r="BE3" s="245"/>
      <c r="BF3" s="245"/>
      <c r="BG3" s="245"/>
      <c r="BH3" s="245"/>
      <c r="BI3" s="245"/>
      <c r="BJ3" s="245"/>
      <c r="BK3" s="245"/>
      <c r="BL3" s="245"/>
      <c r="BM3" s="245"/>
      <c r="BN3" s="245"/>
    </row>
    <row r="4" spans="1:66" ht="13.2" customHeight="1">
      <c r="G4" s="5"/>
      <c r="I4" s="7"/>
      <c r="J4" s="7"/>
      <c r="K4" s="7"/>
      <c r="L4" s="7"/>
      <c r="M4" s="7"/>
      <c r="N4" s="7"/>
      <c r="O4" s="7"/>
      <c r="U4" s="1"/>
      <c r="V4" s="1"/>
      <c r="W4" s="1"/>
      <c r="X4" s="1"/>
      <c r="Y4" s="1"/>
      <c r="Z4" s="28"/>
      <c r="AA4" s="28"/>
      <c r="AB4" s="1"/>
      <c r="AC4" s="1"/>
      <c r="AD4" s="1"/>
      <c r="AE4" s="1"/>
      <c r="AF4" s="1"/>
      <c r="AG4" s="1"/>
      <c r="AH4" s="1"/>
      <c r="AI4" s="28"/>
      <c r="AJ4" s="28"/>
      <c r="AK4" s="29"/>
      <c r="AL4" s="29"/>
      <c r="AM4" s="29"/>
      <c r="AQ4" s="12"/>
      <c r="AR4" s="239"/>
      <c r="AS4" s="212"/>
      <c r="AT4" s="212"/>
      <c r="AU4" s="212"/>
      <c r="AV4" s="213"/>
      <c r="AX4" s="252"/>
      <c r="AY4" s="245"/>
      <c r="AZ4" s="245"/>
      <c r="BA4" s="245"/>
      <c r="BB4" s="245"/>
      <c r="BC4" s="245"/>
      <c r="BD4" s="245"/>
      <c r="BE4" s="245"/>
      <c r="BF4" s="245"/>
      <c r="BG4" s="245"/>
      <c r="BH4" s="245"/>
      <c r="BI4" s="245"/>
      <c r="BJ4" s="245"/>
      <c r="BK4" s="245"/>
      <c r="BL4" s="245"/>
      <c r="BM4" s="245"/>
      <c r="BN4" s="245"/>
    </row>
    <row r="5" spans="1:66" ht="14.1" customHeight="1">
      <c r="G5" s="5"/>
      <c r="I5" s="5"/>
      <c r="J5" s="5"/>
      <c r="K5" s="5"/>
      <c r="L5" s="5"/>
      <c r="M5" s="5"/>
      <c r="N5" s="5"/>
      <c r="O5" s="5"/>
      <c r="P5" s="5"/>
      <c r="Q5" s="6"/>
      <c r="R5" s="6"/>
      <c r="S5" s="6"/>
      <c r="T5" s="6"/>
      <c r="U5" s="6"/>
      <c r="V5" s="6"/>
      <c r="W5" s="6"/>
      <c r="X5" s="6"/>
      <c r="Y5" s="6"/>
      <c r="Z5" s="6"/>
      <c r="AA5" s="6"/>
      <c r="AB5" s="6"/>
      <c r="AC5" s="6"/>
      <c r="AD5" s="6"/>
      <c r="AE5" s="6"/>
      <c r="AF5" s="6"/>
      <c r="AG5" s="6"/>
      <c r="AH5" s="6"/>
      <c r="AI5" s="6"/>
      <c r="AJ5" s="6"/>
      <c r="AK5" s="6"/>
      <c r="AL5" s="6"/>
      <c r="AM5" s="6"/>
      <c r="AN5" s="6"/>
      <c r="AO5" s="6"/>
      <c r="AP5" s="6"/>
      <c r="AQ5" s="12"/>
      <c r="AR5" s="6"/>
      <c r="AS5" s="6"/>
      <c r="AU5" s="5"/>
      <c r="AV5" s="5"/>
    </row>
    <row r="6" spans="1:66" ht="14.1" customHeight="1">
      <c r="A6" s="5" t="s">
        <v>37</v>
      </c>
      <c r="F6" s="5"/>
      <c r="G6" s="5"/>
      <c r="I6" s="5"/>
      <c r="J6" s="5"/>
      <c r="K6" s="5"/>
      <c r="L6" s="5"/>
      <c r="M6" s="5"/>
      <c r="N6" s="5"/>
      <c r="O6" s="5"/>
      <c r="P6" s="5"/>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U6" s="5"/>
      <c r="AV6" s="5"/>
      <c r="AY6" s="12"/>
      <c r="AZ6" s="12"/>
      <c r="BA6" s="12"/>
      <c r="BB6" s="12"/>
      <c r="BE6" s="234" t="s">
        <v>180</v>
      </c>
      <c r="BF6" s="234"/>
      <c r="BG6" s="234"/>
      <c r="BH6" s="234"/>
      <c r="BI6" s="234"/>
      <c r="BJ6" s="234"/>
      <c r="BK6" s="234"/>
      <c r="BL6" s="234"/>
      <c r="BM6" s="234"/>
      <c r="BN6" s="234"/>
    </row>
    <row r="7" spans="1:66" ht="14.1" customHeight="1">
      <c r="F7" s="5"/>
      <c r="G7" s="5"/>
      <c r="I7" s="5"/>
      <c r="J7" s="5"/>
      <c r="K7" s="5"/>
      <c r="L7" s="5"/>
      <c r="M7" s="5"/>
      <c r="N7" s="5"/>
      <c r="O7" s="5"/>
      <c r="P7" s="5"/>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U7" s="5"/>
      <c r="AV7" s="5"/>
      <c r="AY7" s="13"/>
      <c r="AZ7" s="13"/>
      <c r="BA7" s="13"/>
      <c r="BB7" s="13"/>
      <c r="BE7" s="235"/>
      <c r="BF7" s="235"/>
      <c r="BG7" s="235"/>
      <c r="BH7" s="235"/>
      <c r="BI7" s="235"/>
      <c r="BJ7" s="235"/>
      <c r="BK7" s="235"/>
      <c r="BL7" s="235"/>
      <c r="BM7" s="235"/>
      <c r="BN7" s="235"/>
    </row>
    <row r="8" spans="1:66" ht="18.75" customHeight="1">
      <c r="A8" s="179" t="s">
        <v>27</v>
      </c>
      <c r="B8" s="180"/>
      <c r="C8" s="180"/>
      <c r="D8" s="180"/>
      <c r="E8" s="180"/>
      <c r="F8" s="181"/>
      <c r="G8" s="236" t="s">
        <v>121</v>
      </c>
      <c r="H8" s="89"/>
      <c r="I8" s="89"/>
      <c r="J8" s="89"/>
      <c r="K8" s="89"/>
      <c r="L8" s="89"/>
      <c r="M8" s="89"/>
      <c r="N8" s="89"/>
      <c r="O8" s="89"/>
      <c r="P8" s="89"/>
      <c r="Q8" s="89"/>
      <c r="R8" s="89"/>
      <c r="S8" s="89"/>
      <c r="T8" s="89"/>
      <c r="U8" s="89"/>
      <c r="V8" s="89"/>
      <c r="W8" s="89"/>
      <c r="X8" s="89"/>
      <c r="Y8" s="89"/>
      <c r="Z8" s="89"/>
      <c r="AA8" s="89"/>
      <c r="AB8" s="89"/>
      <c r="AC8" s="89"/>
      <c r="AD8" s="89"/>
      <c r="AE8" s="89"/>
      <c r="AF8" s="89"/>
      <c r="AG8" s="90"/>
      <c r="AH8" s="179" t="s">
        <v>3</v>
      </c>
      <c r="AI8" s="180"/>
      <c r="AJ8" s="180"/>
      <c r="AK8" s="180"/>
      <c r="AL8" s="180"/>
      <c r="AM8" s="181"/>
      <c r="AN8" s="237"/>
      <c r="AO8" s="98"/>
      <c r="AP8" s="98"/>
      <c r="AQ8" s="98"/>
      <c r="AR8" s="98"/>
      <c r="AS8" s="98"/>
      <c r="AT8" s="98"/>
      <c r="AU8" s="98"/>
      <c r="AV8" s="98"/>
      <c r="AW8" s="98"/>
      <c r="AX8" s="98"/>
      <c r="AY8" s="98"/>
      <c r="AZ8" s="98"/>
      <c r="BA8" s="98"/>
      <c r="BB8" s="98"/>
      <c r="BC8" s="98"/>
      <c r="BD8" s="98"/>
      <c r="BE8" s="98"/>
      <c r="BF8" s="98"/>
      <c r="BG8" s="98"/>
      <c r="BH8" s="98"/>
      <c r="BI8" s="98"/>
      <c r="BJ8" s="98"/>
      <c r="BK8" s="98"/>
      <c r="BL8" s="98"/>
      <c r="BM8" s="98"/>
      <c r="BN8" s="238"/>
    </row>
    <row r="9" spans="1:66" ht="18.75" customHeight="1">
      <c r="A9" s="182"/>
      <c r="B9" s="183"/>
      <c r="C9" s="183"/>
      <c r="D9" s="183"/>
      <c r="E9" s="183"/>
      <c r="F9" s="184"/>
      <c r="G9" s="239" t="s">
        <v>26</v>
      </c>
      <c r="H9" s="212"/>
      <c r="I9" s="212"/>
      <c r="J9" s="212"/>
      <c r="K9" s="212"/>
      <c r="L9" s="212"/>
      <c r="M9" s="212"/>
      <c r="N9" s="240" t="s">
        <v>23</v>
      </c>
      <c r="O9" s="240"/>
      <c r="P9" s="240"/>
      <c r="Q9" s="240"/>
      <c r="R9" s="240"/>
      <c r="S9" s="240"/>
      <c r="T9" s="240"/>
      <c r="U9" s="240"/>
      <c r="V9" s="240"/>
      <c r="W9" s="240"/>
      <c r="X9" s="240"/>
      <c r="Y9" s="240"/>
      <c r="Z9" s="240"/>
      <c r="AA9" s="240"/>
      <c r="AB9" s="240"/>
      <c r="AC9" s="240"/>
      <c r="AD9" s="240"/>
      <c r="AE9" s="240"/>
      <c r="AF9" s="240"/>
      <c r="AG9" s="241"/>
      <c r="AH9" s="182"/>
      <c r="AI9" s="183"/>
      <c r="AJ9" s="183"/>
      <c r="AK9" s="183"/>
      <c r="AL9" s="183"/>
      <c r="AM9" s="184"/>
      <c r="AN9" s="239"/>
      <c r="AO9" s="212"/>
      <c r="AP9" s="212"/>
      <c r="AQ9" s="212"/>
      <c r="AR9" s="212"/>
      <c r="AS9" s="212"/>
      <c r="AT9" s="212"/>
      <c r="AU9" s="212"/>
      <c r="AV9" s="212"/>
      <c r="AW9" s="212"/>
      <c r="AX9" s="212"/>
      <c r="AY9" s="212"/>
      <c r="AZ9" s="212"/>
      <c r="BA9" s="212"/>
      <c r="BB9" s="212"/>
      <c r="BC9" s="212"/>
      <c r="BD9" s="212"/>
      <c r="BE9" s="212"/>
      <c r="BF9" s="212"/>
      <c r="BG9" s="212"/>
      <c r="BH9" s="212"/>
      <c r="BI9" s="212"/>
      <c r="BJ9" s="212"/>
      <c r="BK9" s="212"/>
      <c r="BL9" s="212"/>
      <c r="BM9" s="212"/>
      <c r="BN9" s="213"/>
    </row>
    <row r="10" spans="1:66" ht="17.25" customHeight="1"/>
    <row r="11" spans="1:66" ht="17.25" customHeight="1">
      <c r="B11" s="2" t="s">
        <v>41</v>
      </c>
      <c r="AP11" s="3"/>
    </row>
    <row r="12" spans="1:66" ht="6.75" customHeight="1"/>
    <row r="13" spans="1:66" ht="17.25" customHeight="1">
      <c r="A13" s="179" t="s">
        <v>0</v>
      </c>
      <c r="B13" s="180"/>
      <c r="C13" s="180"/>
      <c r="D13" s="180"/>
      <c r="E13" s="180"/>
      <c r="F13" s="181"/>
      <c r="G13" s="214"/>
      <c r="H13" s="214"/>
      <c r="I13" s="214"/>
      <c r="J13" s="214"/>
      <c r="K13" s="214"/>
      <c r="L13" s="214"/>
      <c r="M13" s="214"/>
      <c r="N13" s="214"/>
      <c r="O13" s="215"/>
      <c r="P13" s="216" t="s">
        <v>2</v>
      </c>
      <c r="Q13" s="217"/>
      <c r="R13" s="218"/>
      <c r="S13" s="214"/>
      <c r="T13" s="214"/>
      <c r="U13" s="214"/>
      <c r="V13" s="214"/>
      <c r="W13" s="214"/>
      <c r="X13" s="214"/>
      <c r="Y13" s="214"/>
      <c r="Z13" s="215"/>
      <c r="AA13" s="216" t="s">
        <v>1</v>
      </c>
      <c r="AB13" s="217"/>
      <c r="AC13" s="219"/>
      <c r="AD13" s="220"/>
      <c r="AE13" s="221"/>
      <c r="AF13" s="216" t="s">
        <v>8</v>
      </c>
      <c r="AG13" s="231"/>
      <c r="AH13" s="179"/>
      <c r="AI13" s="180"/>
      <c r="AJ13" s="180"/>
      <c r="AK13" s="180"/>
      <c r="AL13" s="180"/>
      <c r="AM13" s="180"/>
      <c r="AN13" s="190"/>
      <c r="AO13" s="190"/>
      <c r="AP13" s="190"/>
      <c r="AQ13" s="190"/>
      <c r="AR13" s="190"/>
      <c r="AS13" s="190"/>
      <c r="AT13" s="190"/>
      <c r="AU13" s="190"/>
      <c r="AV13" s="190"/>
      <c r="AW13" s="190"/>
      <c r="AX13" s="190"/>
      <c r="AY13" s="190"/>
      <c r="AZ13" s="190"/>
      <c r="BA13" s="190"/>
      <c r="BB13" s="190"/>
      <c r="BC13" s="190"/>
      <c r="BD13" s="190"/>
      <c r="BE13" s="190"/>
      <c r="BF13" s="190"/>
      <c r="BG13" s="190"/>
      <c r="BH13" s="190"/>
      <c r="BI13" s="190"/>
      <c r="BJ13" s="190"/>
      <c r="BK13" s="190"/>
      <c r="BL13" s="190"/>
      <c r="BM13" s="190"/>
      <c r="BN13" s="191"/>
    </row>
    <row r="14" spans="1:66" ht="17.25" customHeight="1">
      <c r="A14" s="182"/>
      <c r="B14" s="183"/>
      <c r="C14" s="183"/>
      <c r="D14" s="183"/>
      <c r="E14" s="183"/>
      <c r="F14" s="184"/>
      <c r="G14" s="214"/>
      <c r="H14" s="214"/>
      <c r="I14" s="214"/>
      <c r="J14" s="214"/>
      <c r="K14" s="214"/>
      <c r="L14" s="214"/>
      <c r="M14" s="214"/>
      <c r="N14" s="214"/>
      <c r="O14" s="215"/>
      <c r="P14" s="216"/>
      <c r="Q14" s="217"/>
      <c r="R14" s="218"/>
      <c r="S14" s="214"/>
      <c r="T14" s="214"/>
      <c r="U14" s="214"/>
      <c r="V14" s="214"/>
      <c r="W14" s="214"/>
      <c r="X14" s="214"/>
      <c r="Y14" s="214"/>
      <c r="Z14" s="215"/>
      <c r="AA14" s="216"/>
      <c r="AB14" s="217"/>
      <c r="AC14" s="219"/>
      <c r="AD14" s="220"/>
      <c r="AE14" s="221"/>
      <c r="AF14" s="216"/>
      <c r="AG14" s="231"/>
      <c r="AH14" s="232"/>
      <c r="AI14" s="233"/>
      <c r="AJ14" s="233"/>
      <c r="AK14" s="233"/>
      <c r="AL14" s="233"/>
      <c r="AM14" s="233"/>
      <c r="AN14" s="192"/>
      <c r="AO14" s="192"/>
      <c r="AP14" s="192"/>
      <c r="AQ14" s="192"/>
      <c r="AR14" s="192"/>
      <c r="AS14" s="192"/>
      <c r="AT14" s="192"/>
      <c r="AU14" s="192"/>
      <c r="AV14" s="192"/>
      <c r="AW14" s="192"/>
      <c r="AX14" s="192"/>
      <c r="AY14" s="192"/>
      <c r="AZ14" s="192"/>
      <c r="BA14" s="192"/>
      <c r="BB14" s="192"/>
      <c r="BC14" s="192"/>
      <c r="BD14" s="192"/>
      <c r="BE14" s="192"/>
      <c r="BF14" s="192"/>
      <c r="BG14" s="192"/>
      <c r="BH14" s="192"/>
      <c r="BI14" s="192"/>
      <c r="BJ14" s="192"/>
      <c r="BK14" s="192"/>
      <c r="BL14" s="192"/>
      <c r="BM14" s="192"/>
      <c r="BN14" s="193"/>
    </row>
    <row r="15" spans="1:66" ht="17.25" customHeight="1">
      <c r="A15" s="179" t="s">
        <v>52</v>
      </c>
      <c r="B15" s="180"/>
      <c r="C15" s="180"/>
      <c r="D15" s="180"/>
      <c r="E15" s="180"/>
      <c r="F15" s="181"/>
      <c r="G15" s="196"/>
      <c r="H15" s="197"/>
      <c r="I15" s="197"/>
      <c r="J15" s="197"/>
      <c r="K15" s="197"/>
      <c r="L15" s="197"/>
      <c r="M15" s="197"/>
      <c r="N15" s="197"/>
      <c r="O15" s="198"/>
      <c r="P15" s="101" t="s">
        <v>60</v>
      </c>
      <c r="Q15" s="180"/>
      <c r="R15" s="180"/>
      <c r="S15" s="180"/>
      <c r="T15" s="180"/>
      <c r="U15" s="202"/>
      <c r="V15" s="204"/>
      <c r="W15" s="205"/>
      <c r="X15" s="205"/>
      <c r="Y15" s="205"/>
      <c r="Z15" s="205"/>
      <c r="AA15" s="205"/>
      <c r="AB15" s="205"/>
      <c r="AC15" s="205"/>
      <c r="AD15" s="205"/>
      <c r="AE15" s="206"/>
      <c r="AF15" s="207" t="s">
        <v>40</v>
      </c>
      <c r="AG15" s="208"/>
      <c r="AH15" s="232"/>
      <c r="AI15" s="233"/>
      <c r="AJ15" s="233"/>
      <c r="AK15" s="233"/>
      <c r="AL15" s="233"/>
      <c r="AM15" s="233"/>
      <c r="AN15" s="192"/>
      <c r="AO15" s="192"/>
      <c r="AP15" s="192"/>
      <c r="AQ15" s="192"/>
      <c r="AR15" s="192"/>
      <c r="AS15" s="192"/>
      <c r="AT15" s="192"/>
      <c r="AU15" s="192"/>
      <c r="AV15" s="192"/>
      <c r="AW15" s="192"/>
      <c r="AX15" s="192"/>
      <c r="AY15" s="192"/>
      <c r="AZ15" s="192"/>
      <c r="BA15" s="192"/>
      <c r="BB15" s="192"/>
      <c r="BC15" s="192"/>
      <c r="BD15" s="192"/>
      <c r="BE15" s="192"/>
      <c r="BF15" s="192"/>
      <c r="BG15" s="192"/>
      <c r="BH15" s="192"/>
      <c r="BI15" s="192"/>
      <c r="BJ15" s="192"/>
      <c r="BK15" s="192"/>
      <c r="BL15" s="192"/>
      <c r="BM15" s="192"/>
      <c r="BN15" s="193"/>
    </row>
    <row r="16" spans="1:66" ht="17.25" customHeight="1">
      <c r="A16" s="182"/>
      <c r="B16" s="183"/>
      <c r="C16" s="183"/>
      <c r="D16" s="183"/>
      <c r="E16" s="183"/>
      <c r="F16" s="184"/>
      <c r="G16" s="199"/>
      <c r="H16" s="200"/>
      <c r="I16" s="200"/>
      <c r="J16" s="200"/>
      <c r="K16" s="200"/>
      <c r="L16" s="200"/>
      <c r="M16" s="200"/>
      <c r="N16" s="200"/>
      <c r="O16" s="201"/>
      <c r="P16" s="183"/>
      <c r="Q16" s="183"/>
      <c r="R16" s="183"/>
      <c r="S16" s="183"/>
      <c r="T16" s="183"/>
      <c r="U16" s="203"/>
      <c r="V16" s="209"/>
      <c r="W16" s="210"/>
      <c r="X16" s="210"/>
      <c r="Y16" s="210"/>
      <c r="Z16" s="210"/>
      <c r="AA16" s="210"/>
      <c r="AB16" s="210"/>
      <c r="AC16" s="210"/>
      <c r="AD16" s="210"/>
      <c r="AE16" s="211"/>
      <c r="AF16" s="212" t="s">
        <v>47</v>
      </c>
      <c r="AG16" s="213"/>
      <c r="AH16" s="232"/>
      <c r="AI16" s="233"/>
      <c r="AJ16" s="233"/>
      <c r="AK16" s="233"/>
      <c r="AL16" s="233"/>
      <c r="AM16" s="233"/>
      <c r="AN16" s="192"/>
      <c r="AO16" s="192"/>
      <c r="AP16" s="192"/>
      <c r="AQ16" s="192"/>
      <c r="AR16" s="192"/>
      <c r="AS16" s="192"/>
      <c r="AT16" s="192"/>
      <c r="AU16" s="192"/>
      <c r="AV16" s="192"/>
      <c r="AW16" s="192"/>
      <c r="AX16" s="192"/>
      <c r="AY16" s="192"/>
      <c r="AZ16" s="192"/>
      <c r="BA16" s="192"/>
      <c r="BB16" s="192"/>
      <c r="BC16" s="192"/>
      <c r="BD16" s="192"/>
      <c r="BE16" s="192"/>
      <c r="BF16" s="192"/>
      <c r="BG16" s="192"/>
      <c r="BH16" s="192"/>
      <c r="BI16" s="192"/>
      <c r="BJ16" s="192"/>
      <c r="BK16" s="192"/>
      <c r="BL16" s="192"/>
      <c r="BM16" s="192"/>
      <c r="BN16" s="193"/>
    </row>
    <row r="17" spans="1:75" ht="17.25" customHeight="1">
      <c r="A17" s="179" t="s">
        <v>51</v>
      </c>
      <c r="B17" s="180"/>
      <c r="C17" s="180"/>
      <c r="D17" s="180"/>
      <c r="E17" s="180"/>
      <c r="F17" s="181"/>
      <c r="G17" s="222"/>
      <c r="H17" s="223"/>
      <c r="I17" s="223"/>
      <c r="J17" s="223"/>
      <c r="K17" s="223"/>
      <c r="L17" s="223"/>
      <c r="M17" s="223"/>
      <c r="N17" s="223"/>
      <c r="O17" s="224"/>
      <c r="P17" s="101" t="s">
        <v>60</v>
      </c>
      <c r="Q17" s="180"/>
      <c r="R17" s="180"/>
      <c r="S17" s="180"/>
      <c r="T17" s="180"/>
      <c r="U17" s="202"/>
      <c r="V17" s="204"/>
      <c r="W17" s="205"/>
      <c r="X17" s="205"/>
      <c r="Y17" s="205"/>
      <c r="Z17" s="205"/>
      <c r="AA17" s="205"/>
      <c r="AB17" s="205"/>
      <c r="AC17" s="205"/>
      <c r="AD17" s="205"/>
      <c r="AE17" s="206"/>
      <c r="AF17" s="207" t="s">
        <v>40</v>
      </c>
      <c r="AG17" s="208"/>
      <c r="AH17" s="232"/>
      <c r="AI17" s="233"/>
      <c r="AJ17" s="233"/>
      <c r="AK17" s="233"/>
      <c r="AL17" s="233"/>
      <c r="AM17" s="233"/>
      <c r="AN17" s="192"/>
      <c r="AO17" s="192"/>
      <c r="AP17" s="192"/>
      <c r="AQ17" s="192"/>
      <c r="AR17" s="192"/>
      <c r="AS17" s="192"/>
      <c r="AT17" s="192"/>
      <c r="AU17" s="192"/>
      <c r="AV17" s="192"/>
      <c r="AW17" s="192"/>
      <c r="AX17" s="192"/>
      <c r="AY17" s="192"/>
      <c r="AZ17" s="192"/>
      <c r="BA17" s="192"/>
      <c r="BB17" s="192"/>
      <c r="BC17" s="192"/>
      <c r="BD17" s="192"/>
      <c r="BE17" s="192"/>
      <c r="BF17" s="192"/>
      <c r="BG17" s="192"/>
      <c r="BH17" s="192"/>
      <c r="BI17" s="192"/>
      <c r="BJ17" s="192"/>
      <c r="BK17" s="192"/>
      <c r="BL17" s="192"/>
      <c r="BM17" s="192"/>
      <c r="BN17" s="193"/>
    </row>
    <row r="18" spans="1:75" ht="17.25" customHeight="1">
      <c r="A18" s="182"/>
      <c r="B18" s="183"/>
      <c r="C18" s="183"/>
      <c r="D18" s="183"/>
      <c r="E18" s="183"/>
      <c r="F18" s="184"/>
      <c r="G18" s="225"/>
      <c r="H18" s="226"/>
      <c r="I18" s="226"/>
      <c r="J18" s="226"/>
      <c r="K18" s="226"/>
      <c r="L18" s="226"/>
      <c r="M18" s="226"/>
      <c r="N18" s="226"/>
      <c r="O18" s="227"/>
      <c r="P18" s="183"/>
      <c r="Q18" s="183"/>
      <c r="R18" s="183"/>
      <c r="S18" s="183"/>
      <c r="T18" s="183"/>
      <c r="U18" s="203"/>
      <c r="V18" s="228"/>
      <c r="W18" s="229"/>
      <c r="X18" s="229"/>
      <c r="Y18" s="229"/>
      <c r="Z18" s="229"/>
      <c r="AA18" s="229"/>
      <c r="AB18" s="229"/>
      <c r="AC18" s="229"/>
      <c r="AD18" s="229"/>
      <c r="AE18" s="230"/>
      <c r="AF18" s="212" t="s">
        <v>47</v>
      </c>
      <c r="AG18" s="213"/>
      <c r="AH18" s="182"/>
      <c r="AI18" s="183"/>
      <c r="AJ18" s="183"/>
      <c r="AK18" s="183"/>
      <c r="AL18" s="183"/>
      <c r="AM18" s="183"/>
      <c r="AN18" s="194"/>
      <c r="AO18" s="194"/>
      <c r="AP18" s="194"/>
      <c r="AQ18" s="194"/>
      <c r="AR18" s="194"/>
      <c r="AS18" s="194"/>
      <c r="AT18" s="194"/>
      <c r="AU18" s="194"/>
      <c r="AV18" s="194"/>
      <c r="AW18" s="194"/>
      <c r="AX18" s="194"/>
      <c r="AY18" s="194"/>
      <c r="AZ18" s="194"/>
      <c r="BA18" s="194"/>
      <c r="BB18" s="194"/>
      <c r="BC18" s="194"/>
      <c r="BD18" s="194"/>
      <c r="BE18" s="194"/>
      <c r="BF18" s="194"/>
      <c r="BG18" s="194"/>
      <c r="BH18" s="194"/>
      <c r="BI18" s="194"/>
      <c r="BJ18" s="194"/>
      <c r="BK18" s="194"/>
      <c r="BL18" s="194"/>
      <c r="BM18" s="194"/>
      <c r="BN18" s="195"/>
    </row>
    <row r="19" spans="1:75" ht="6.75" customHeight="1">
      <c r="BH19" s="30"/>
    </row>
    <row r="20" spans="1:75" ht="17.25" customHeight="1">
      <c r="A20" s="106"/>
      <c r="B20" s="179" t="s">
        <v>53</v>
      </c>
      <c r="C20" s="180"/>
      <c r="D20" s="180"/>
      <c r="E20" s="180"/>
      <c r="F20" s="181"/>
      <c r="G20" s="179" t="s">
        <v>50</v>
      </c>
      <c r="H20" s="180"/>
      <c r="I20" s="180"/>
      <c r="J20" s="180"/>
      <c r="K20" s="180"/>
      <c r="L20" s="180"/>
      <c r="M20" s="180"/>
      <c r="N20" s="180"/>
      <c r="O20" s="180"/>
      <c r="P20" s="180"/>
      <c r="Q20" s="180"/>
      <c r="R20" s="180"/>
      <c r="S20" s="181"/>
      <c r="T20" s="179" t="s">
        <v>49</v>
      </c>
      <c r="U20" s="180"/>
      <c r="V20" s="180"/>
      <c r="W20" s="180"/>
      <c r="X20" s="180"/>
      <c r="Y20" s="180"/>
      <c r="Z20" s="180"/>
      <c r="AA20" s="180"/>
      <c r="AB20" s="180"/>
      <c r="AC20" s="180"/>
      <c r="AD20" s="180"/>
      <c r="AE20" s="132" t="s">
        <v>66</v>
      </c>
      <c r="AF20" s="185"/>
      <c r="AG20" s="185"/>
      <c r="AH20" s="185"/>
      <c r="AI20" s="185"/>
      <c r="AJ20" s="185"/>
      <c r="AK20" s="186"/>
      <c r="AL20" s="172" t="s">
        <v>57</v>
      </c>
      <c r="AM20" s="133"/>
      <c r="AN20" s="133"/>
      <c r="AO20" s="133"/>
      <c r="AP20" s="133"/>
      <c r="AQ20" s="133"/>
      <c r="AR20" s="133"/>
      <c r="AS20" s="133"/>
      <c r="AT20" s="133"/>
      <c r="AU20" s="133"/>
      <c r="AV20" s="133"/>
      <c r="AW20" s="134"/>
      <c r="AX20" s="172" t="s">
        <v>48</v>
      </c>
      <c r="AY20" s="133"/>
      <c r="AZ20" s="133"/>
      <c r="BA20" s="133"/>
      <c r="BB20" s="133"/>
      <c r="BC20" s="133"/>
      <c r="BD20" s="133"/>
      <c r="BE20" s="133"/>
      <c r="BF20" s="133"/>
      <c r="BG20" s="133"/>
      <c r="BH20" s="133"/>
      <c r="BI20" s="133"/>
      <c r="BJ20" s="133"/>
      <c r="BK20" s="133"/>
      <c r="BL20" s="133"/>
      <c r="BM20" s="133"/>
      <c r="BN20" s="134"/>
    </row>
    <row r="21" spans="1:75" ht="17.25" customHeight="1">
      <c r="A21" s="106"/>
      <c r="B21" s="182"/>
      <c r="C21" s="183"/>
      <c r="D21" s="183"/>
      <c r="E21" s="183"/>
      <c r="F21" s="184"/>
      <c r="G21" s="182"/>
      <c r="H21" s="183"/>
      <c r="I21" s="183"/>
      <c r="J21" s="183"/>
      <c r="K21" s="183"/>
      <c r="L21" s="183"/>
      <c r="M21" s="183"/>
      <c r="N21" s="183"/>
      <c r="O21" s="183"/>
      <c r="P21" s="183"/>
      <c r="Q21" s="183"/>
      <c r="R21" s="183"/>
      <c r="S21" s="184"/>
      <c r="T21" s="182"/>
      <c r="U21" s="183"/>
      <c r="V21" s="183"/>
      <c r="W21" s="183"/>
      <c r="X21" s="183"/>
      <c r="Y21" s="183"/>
      <c r="Z21" s="183"/>
      <c r="AA21" s="183"/>
      <c r="AB21" s="183"/>
      <c r="AC21" s="183"/>
      <c r="AD21" s="183"/>
      <c r="AE21" s="187"/>
      <c r="AF21" s="188"/>
      <c r="AG21" s="188"/>
      <c r="AH21" s="188"/>
      <c r="AI21" s="188"/>
      <c r="AJ21" s="188"/>
      <c r="AK21" s="189"/>
      <c r="AL21" s="135"/>
      <c r="AM21" s="136"/>
      <c r="AN21" s="136"/>
      <c r="AO21" s="136"/>
      <c r="AP21" s="136"/>
      <c r="AQ21" s="136"/>
      <c r="AR21" s="136"/>
      <c r="AS21" s="136"/>
      <c r="AT21" s="136"/>
      <c r="AU21" s="136"/>
      <c r="AV21" s="136"/>
      <c r="AW21" s="137"/>
      <c r="AX21" s="135"/>
      <c r="AY21" s="136"/>
      <c r="AZ21" s="136"/>
      <c r="BA21" s="136"/>
      <c r="BB21" s="136"/>
      <c r="BC21" s="136"/>
      <c r="BD21" s="136"/>
      <c r="BE21" s="136"/>
      <c r="BF21" s="136"/>
      <c r="BG21" s="136"/>
      <c r="BH21" s="136"/>
      <c r="BI21" s="136"/>
      <c r="BJ21" s="136"/>
      <c r="BK21" s="136"/>
      <c r="BL21" s="136"/>
      <c r="BM21" s="136"/>
      <c r="BN21" s="137"/>
    </row>
    <row r="22" spans="1:75" ht="17.25" customHeight="1">
      <c r="A22" s="106">
        <v>1</v>
      </c>
      <c r="B22" s="173"/>
      <c r="C22" s="174"/>
      <c r="D22" s="174"/>
      <c r="E22" s="174"/>
      <c r="F22" s="175"/>
      <c r="G22" s="160"/>
      <c r="H22" s="161"/>
      <c r="I22" s="161"/>
      <c r="J22" s="161"/>
      <c r="K22" s="161"/>
      <c r="L22" s="161"/>
      <c r="M22" s="161"/>
      <c r="N22" s="161"/>
      <c r="O22" s="161"/>
      <c r="P22" s="161"/>
      <c r="Q22" s="161"/>
      <c r="R22" s="161"/>
      <c r="S22" s="162"/>
      <c r="T22" s="166"/>
      <c r="U22" s="167"/>
      <c r="V22" s="167"/>
      <c r="W22" s="167"/>
      <c r="X22" s="167"/>
      <c r="Y22" s="167"/>
      <c r="Z22" s="167"/>
      <c r="AA22" s="167"/>
      <c r="AB22" s="167"/>
      <c r="AC22" s="167"/>
      <c r="AD22" s="167"/>
      <c r="AE22" s="170"/>
      <c r="AF22" s="171"/>
      <c r="AG22" s="171"/>
      <c r="AH22" s="171"/>
      <c r="AI22" s="171"/>
      <c r="AJ22" s="171"/>
      <c r="AK22" s="26" t="s">
        <v>40</v>
      </c>
      <c r="AL22" s="138"/>
      <c r="AM22" s="139"/>
      <c r="AN22" s="139"/>
      <c r="AO22" s="139"/>
      <c r="AP22" s="139"/>
      <c r="AQ22" s="139"/>
      <c r="AR22" s="139"/>
      <c r="AS22" s="139"/>
      <c r="AT22" s="139"/>
      <c r="AU22" s="139"/>
      <c r="AV22" s="139"/>
      <c r="AW22" s="140"/>
      <c r="AX22" s="141"/>
      <c r="AY22" s="142"/>
      <c r="AZ22" s="142"/>
      <c r="BA22" s="142"/>
      <c r="BB22" s="142"/>
      <c r="BC22" s="142"/>
      <c r="BD22" s="142"/>
      <c r="BE22" s="142"/>
      <c r="BF22" s="142"/>
      <c r="BG22" s="142"/>
      <c r="BH22" s="142"/>
      <c r="BI22" s="142"/>
      <c r="BJ22" s="142"/>
      <c r="BK22" s="142"/>
      <c r="BL22" s="142"/>
      <c r="BM22" s="142"/>
      <c r="BN22" s="143"/>
    </row>
    <row r="23" spans="1:75" ht="17.25" customHeight="1">
      <c r="A23" s="106"/>
      <c r="B23" s="176"/>
      <c r="C23" s="177"/>
      <c r="D23" s="177"/>
      <c r="E23" s="177"/>
      <c r="F23" s="178"/>
      <c r="G23" s="163"/>
      <c r="H23" s="164"/>
      <c r="I23" s="164"/>
      <c r="J23" s="164"/>
      <c r="K23" s="164"/>
      <c r="L23" s="164"/>
      <c r="M23" s="164"/>
      <c r="N23" s="164"/>
      <c r="O23" s="164"/>
      <c r="P23" s="164"/>
      <c r="Q23" s="164"/>
      <c r="R23" s="164"/>
      <c r="S23" s="165"/>
      <c r="T23" s="168"/>
      <c r="U23" s="169"/>
      <c r="V23" s="169"/>
      <c r="W23" s="169"/>
      <c r="X23" s="169"/>
      <c r="Y23" s="169"/>
      <c r="Z23" s="169"/>
      <c r="AA23" s="169"/>
      <c r="AB23" s="169"/>
      <c r="AC23" s="169"/>
      <c r="AD23" s="169"/>
      <c r="AE23" s="147"/>
      <c r="AF23" s="148"/>
      <c r="AG23" s="148"/>
      <c r="AH23" s="148"/>
      <c r="AI23" s="148"/>
      <c r="AJ23" s="148"/>
      <c r="AK23" s="27" t="s">
        <v>47</v>
      </c>
      <c r="AL23" s="149" t="s">
        <v>67</v>
      </c>
      <c r="AM23" s="150"/>
      <c r="AN23" s="150"/>
      <c r="AO23" s="150"/>
      <c r="AP23" s="150"/>
      <c r="AQ23" s="151" t="s">
        <v>93</v>
      </c>
      <c r="AR23" s="151"/>
      <c r="AS23" s="151"/>
      <c r="AT23" s="23" t="s">
        <v>39</v>
      </c>
      <c r="AU23" s="151" t="s">
        <v>93</v>
      </c>
      <c r="AV23" s="152"/>
      <c r="AW23" s="153"/>
      <c r="AX23" s="144"/>
      <c r="AY23" s="145"/>
      <c r="AZ23" s="145"/>
      <c r="BA23" s="145"/>
      <c r="BB23" s="145"/>
      <c r="BC23" s="145"/>
      <c r="BD23" s="145"/>
      <c r="BE23" s="145"/>
      <c r="BF23" s="145"/>
      <c r="BG23" s="145"/>
      <c r="BH23" s="145"/>
      <c r="BI23" s="145"/>
      <c r="BJ23" s="145"/>
      <c r="BK23" s="145"/>
      <c r="BL23" s="145"/>
      <c r="BM23" s="145"/>
      <c r="BN23" s="146"/>
    </row>
    <row r="24" spans="1:75" ht="17.25" customHeight="1">
      <c r="A24" s="106">
        <v>2</v>
      </c>
      <c r="B24" s="154"/>
      <c r="C24" s="155"/>
      <c r="D24" s="155"/>
      <c r="E24" s="155"/>
      <c r="F24" s="156"/>
      <c r="G24" s="160"/>
      <c r="H24" s="161"/>
      <c r="I24" s="161"/>
      <c r="J24" s="161"/>
      <c r="K24" s="161"/>
      <c r="L24" s="161"/>
      <c r="M24" s="161"/>
      <c r="N24" s="161"/>
      <c r="O24" s="161"/>
      <c r="P24" s="161"/>
      <c r="Q24" s="161"/>
      <c r="R24" s="161"/>
      <c r="S24" s="162"/>
      <c r="T24" s="166"/>
      <c r="U24" s="167"/>
      <c r="V24" s="167"/>
      <c r="W24" s="167"/>
      <c r="X24" s="167"/>
      <c r="Y24" s="167"/>
      <c r="Z24" s="167"/>
      <c r="AA24" s="167"/>
      <c r="AB24" s="167"/>
      <c r="AC24" s="167"/>
      <c r="AD24" s="167"/>
      <c r="AE24" s="170"/>
      <c r="AF24" s="171"/>
      <c r="AG24" s="171"/>
      <c r="AH24" s="171"/>
      <c r="AI24" s="171"/>
      <c r="AJ24" s="171"/>
      <c r="AK24" s="26" t="s">
        <v>40</v>
      </c>
      <c r="AL24" s="138"/>
      <c r="AM24" s="139"/>
      <c r="AN24" s="139"/>
      <c r="AO24" s="139"/>
      <c r="AP24" s="139"/>
      <c r="AQ24" s="139"/>
      <c r="AR24" s="139"/>
      <c r="AS24" s="139"/>
      <c r="AT24" s="139"/>
      <c r="AU24" s="139"/>
      <c r="AV24" s="139"/>
      <c r="AW24" s="140"/>
      <c r="AX24" s="141"/>
      <c r="AY24" s="142"/>
      <c r="AZ24" s="142"/>
      <c r="BA24" s="142"/>
      <c r="BB24" s="142"/>
      <c r="BC24" s="142"/>
      <c r="BD24" s="142"/>
      <c r="BE24" s="142"/>
      <c r="BF24" s="142"/>
      <c r="BG24" s="142"/>
      <c r="BH24" s="142"/>
      <c r="BI24" s="142"/>
      <c r="BJ24" s="142"/>
      <c r="BK24" s="142"/>
      <c r="BL24" s="142"/>
      <c r="BM24" s="142"/>
      <c r="BN24" s="143"/>
    </row>
    <row r="25" spans="1:75" ht="17.25" customHeight="1">
      <c r="A25" s="106"/>
      <c r="B25" s="157"/>
      <c r="C25" s="158"/>
      <c r="D25" s="158"/>
      <c r="E25" s="158"/>
      <c r="F25" s="159"/>
      <c r="G25" s="163"/>
      <c r="H25" s="164"/>
      <c r="I25" s="164"/>
      <c r="J25" s="164"/>
      <c r="K25" s="164"/>
      <c r="L25" s="164"/>
      <c r="M25" s="164"/>
      <c r="N25" s="164"/>
      <c r="O25" s="164"/>
      <c r="P25" s="164"/>
      <c r="Q25" s="164"/>
      <c r="R25" s="164"/>
      <c r="S25" s="165"/>
      <c r="T25" s="168"/>
      <c r="U25" s="169"/>
      <c r="V25" s="169"/>
      <c r="W25" s="169"/>
      <c r="X25" s="169"/>
      <c r="Y25" s="169"/>
      <c r="Z25" s="169"/>
      <c r="AA25" s="169"/>
      <c r="AB25" s="169"/>
      <c r="AC25" s="169"/>
      <c r="AD25" s="169"/>
      <c r="AE25" s="147"/>
      <c r="AF25" s="148"/>
      <c r="AG25" s="148"/>
      <c r="AH25" s="148"/>
      <c r="AI25" s="148"/>
      <c r="AJ25" s="148"/>
      <c r="AK25" s="27" t="s">
        <v>47</v>
      </c>
      <c r="AL25" s="149" t="s">
        <v>67</v>
      </c>
      <c r="AM25" s="150"/>
      <c r="AN25" s="150"/>
      <c r="AO25" s="150"/>
      <c r="AP25" s="150"/>
      <c r="AQ25" s="151" t="s">
        <v>58</v>
      </c>
      <c r="AR25" s="151"/>
      <c r="AS25" s="151"/>
      <c r="AT25" s="23" t="s">
        <v>39</v>
      </c>
      <c r="AU25" s="152" t="s">
        <v>58</v>
      </c>
      <c r="AV25" s="152"/>
      <c r="AW25" s="153"/>
      <c r="AX25" s="144"/>
      <c r="AY25" s="145"/>
      <c r="AZ25" s="145"/>
      <c r="BA25" s="145"/>
      <c r="BB25" s="145"/>
      <c r="BC25" s="145"/>
      <c r="BD25" s="145"/>
      <c r="BE25" s="145"/>
      <c r="BF25" s="145"/>
      <c r="BG25" s="145"/>
      <c r="BH25" s="145"/>
      <c r="BI25" s="145"/>
      <c r="BJ25" s="145"/>
      <c r="BK25" s="145"/>
      <c r="BL25" s="145"/>
      <c r="BM25" s="145"/>
      <c r="BN25" s="146"/>
    </row>
    <row r="26" spans="1:75" ht="17.25" customHeight="1">
      <c r="A26" s="106">
        <v>3</v>
      </c>
      <c r="B26" s="154"/>
      <c r="C26" s="155"/>
      <c r="D26" s="155"/>
      <c r="E26" s="155"/>
      <c r="F26" s="156"/>
      <c r="G26" s="160"/>
      <c r="H26" s="161"/>
      <c r="I26" s="161"/>
      <c r="J26" s="161"/>
      <c r="K26" s="161"/>
      <c r="L26" s="161"/>
      <c r="M26" s="161"/>
      <c r="N26" s="161"/>
      <c r="O26" s="161"/>
      <c r="P26" s="161"/>
      <c r="Q26" s="161"/>
      <c r="R26" s="161"/>
      <c r="S26" s="162"/>
      <c r="T26" s="166"/>
      <c r="U26" s="167"/>
      <c r="V26" s="167"/>
      <c r="W26" s="167"/>
      <c r="X26" s="167"/>
      <c r="Y26" s="167"/>
      <c r="Z26" s="167"/>
      <c r="AA26" s="167"/>
      <c r="AB26" s="167"/>
      <c r="AC26" s="167"/>
      <c r="AD26" s="167"/>
      <c r="AE26" s="170"/>
      <c r="AF26" s="171"/>
      <c r="AG26" s="171"/>
      <c r="AH26" s="171"/>
      <c r="AI26" s="171"/>
      <c r="AJ26" s="171"/>
      <c r="AK26" s="26" t="s">
        <v>40</v>
      </c>
      <c r="AL26" s="138"/>
      <c r="AM26" s="139"/>
      <c r="AN26" s="139"/>
      <c r="AO26" s="139"/>
      <c r="AP26" s="139"/>
      <c r="AQ26" s="139"/>
      <c r="AR26" s="139"/>
      <c r="AS26" s="139"/>
      <c r="AT26" s="139"/>
      <c r="AU26" s="139"/>
      <c r="AV26" s="139"/>
      <c r="AW26" s="140"/>
      <c r="AX26" s="141"/>
      <c r="AY26" s="142"/>
      <c r="AZ26" s="142"/>
      <c r="BA26" s="142"/>
      <c r="BB26" s="142"/>
      <c r="BC26" s="142"/>
      <c r="BD26" s="142"/>
      <c r="BE26" s="142"/>
      <c r="BF26" s="142"/>
      <c r="BG26" s="142"/>
      <c r="BH26" s="142"/>
      <c r="BI26" s="142"/>
      <c r="BJ26" s="142"/>
      <c r="BK26" s="142"/>
      <c r="BL26" s="142"/>
      <c r="BM26" s="142"/>
      <c r="BN26" s="143"/>
    </row>
    <row r="27" spans="1:75" ht="17.25" customHeight="1">
      <c r="A27" s="106"/>
      <c r="B27" s="157"/>
      <c r="C27" s="158"/>
      <c r="D27" s="158"/>
      <c r="E27" s="158"/>
      <c r="F27" s="159"/>
      <c r="G27" s="163"/>
      <c r="H27" s="164"/>
      <c r="I27" s="164"/>
      <c r="J27" s="164"/>
      <c r="K27" s="164"/>
      <c r="L27" s="164"/>
      <c r="M27" s="164"/>
      <c r="N27" s="164"/>
      <c r="O27" s="164"/>
      <c r="P27" s="164"/>
      <c r="Q27" s="164"/>
      <c r="R27" s="164"/>
      <c r="S27" s="165"/>
      <c r="T27" s="168"/>
      <c r="U27" s="169"/>
      <c r="V27" s="169"/>
      <c r="W27" s="169"/>
      <c r="X27" s="169"/>
      <c r="Y27" s="169"/>
      <c r="Z27" s="169"/>
      <c r="AA27" s="169"/>
      <c r="AB27" s="169"/>
      <c r="AC27" s="169"/>
      <c r="AD27" s="169"/>
      <c r="AE27" s="147"/>
      <c r="AF27" s="148"/>
      <c r="AG27" s="148"/>
      <c r="AH27" s="148"/>
      <c r="AI27" s="148"/>
      <c r="AJ27" s="148"/>
      <c r="AK27" s="27" t="s">
        <v>47</v>
      </c>
      <c r="AL27" s="149" t="s">
        <v>67</v>
      </c>
      <c r="AM27" s="150"/>
      <c r="AN27" s="150"/>
      <c r="AO27" s="150"/>
      <c r="AP27" s="150"/>
      <c r="AQ27" s="151" t="s">
        <v>58</v>
      </c>
      <c r="AR27" s="151"/>
      <c r="AS27" s="151"/>
      <c r="AT27" s="23" t="s">
        <v>39</v>
      </c>
      <c r="AU27" s="152" t="s">
        <v>58</v>
      </c>
      <c r="AV27" s="152"/>
      <c r="AW27" s="153"/>
      <c r="AX27" s="144"/>
      <c r="AY27" s="145"/>
      <c r="AZ27" s="145"/>
      <c r="BA27" s="145"/>
      <c r="BB27" s="145"/>
      <c r="BC27" s="145"/>
      <c r="BD27" s="145"/>
      <c r="BE27" s="145"/>
      <c r="BF27" s="145"/>
      <c r="BG27" s="145"/>
      <c r="BH27" s="145"/>
      <c r="BI27" s="145"/>
      <c r="BJ27" s="145"/>
      <c r="BK27" s="145"/>
      <c r="BL27" s="145"/>
      <c r="BM27" s="145"/>
      <c r="BN27" s="146"/>
    </row>
    <row r="28" spans="1:75" ht="17.25" customHeight="1">
      <c r="A28" s="106">
        <v>4</v>
      </c>
      <c r="B28" s="154"/>
      <c r="C28" s="155"/>
      <c r="D28" s="155"/>
      <c r="E28" s="155"/>
      <c r="F28" s="156"/>
      <c r="G28" s="160"/>
      <c r="H28" s="161"/>
      <c r="I28" s="161"/>
      <c r="J28" s="161"/>
      <c r="K28" s="161"/>
      <c r="L28" s="161"/>
      <c r="M28" s="161"/>
      <c r="N28" s="161"/>
      <c r="O28" s="161"/>
      <c r="P28" s="161"/>
      <c r="Q28" s="161"/>
      <c r="R28" s="161"/>
      <c r="S28" s="162"/>
      <c r="T28" s="166"/>
      <c r="U28" s="167"/>
      <c r="V28" s="167"/>
      <c r="W28" s="167"/>
      <c r="X28" s="167"/>
      <c r="Y28" s="167"/>
      <c r="Z28" s="167"/>
      <c r="AA28" s="167"/>
      <c r="AB28" s="167"/>
      <c r="AC28" s="167"/>
      <c r="AD28" s="167"/>
      <c r="AE28" s="170"/>
      <c r="AF28" s="171"/>
      <c r="AG28" s="171"/>
      <c r="AH28" s="171"/>
      <c r="AI28" s="171"/>
      <c r="AJ28" s="171"/>
      <c r="AK28" s="26" t="s">
        <v>40</v>
      </c>
      <c r="AL28" s="138"/>
      <c r="AM28" s="139"/>
      <c r="AN28" s="139"/>
      <c r="AO28" s="139"/>
      <c r="AP28" s="139"/>
      <c r="AQ28" s="139"/>
      <c r="AR28" s="139"/>
      <c r="AS28" s="139"/>
      <c r="AT28" s="139"/>
      <c r="AU28" s="139"/>
      <c r="AV28" s="139"/>
      <c r="AW28" s="140"/>
      <c r="AX28" s="141"/>
      <c r="AY28" s="142"/>
      <c r="AZ28" s="142"/>
      <c r="BA28" s="142"/>
      <c r="BB28" s="142"/>
      <c r="BC28" s="142"/>
      <c r="BD28" s="142"/>
      <c r="BE28" s="142"/>
      <c r="BF28" s="142"/>
      <c r="BG28" s="142"/>
      <c r="BH28" s="142"/>
      <c r="BI28" s="142"/>
      <c r="BJ28" s="142"/>
      <c r="BK28" s="142"/>
      <c r="BL28" s="142"/>
      <c r="BM28" s="142"/>
      <c r="BN28" s="143"/>
    </row>
    <row r="29" spans="1:75" ht="17.25" customHeight="1">
      <c r="A29" s="106"/>
      <c r="B29" s="157"/>
      <c r="C29" s="158"/>
      <c r="D29" s="158"/>
      <c r="E29" s="158"/>
      <c r="F29" s="159"/>
      <c r="G29" s="163"/>
      <c r="H29" s="164"/>
      <c r="I29" s="164"/>
      <c r="J29" s="164"/>
      <c r="K29" s="164"/>
      <c r="L29" s="164"/>
      <c r="M29" s="164"/>
      <c r="N29" s="164"/>
      <c r="O29" s="164"/>
      <c r="P29" s="164"/>
      <c r="Q29" s="164"/>
      <c r="R29" s="164"/>
      <c r="S29" s="165"/>
      <c r="T29" s="168"/>
      <c r="U29" s="169"/>
      <c r="V29" s="169"/>
      <c r="W29" s="169"/>
      <c r="X29" s="169"/>
      <c r="Y29" s="169"/>
      <c r="Z29" s="169"/>
      <c r="AA29" s="169"/>
      <c r="AB29" s="169"/>
      <c r="AC29" s="169"/>
      <c r="AD29" s="169"/>
      <c r="AE29" s="147"/>
      <c r="AF29" s="148"/>
      <c r="AG29" s="148"/>
      <c r="AH29" s="148"/>
      <c r="AI29" s="148"/>
      <c r="AJ29" s="148"/>
      <c r="AK29" s="27" t="s">
        <v>47</v>
      </c>
      <c r="AL29" s="149" t="s">
        <v>67</v>
      </c>
      <c r="AM29" s="150"/>
      <c r="AN29" s="150"/>
      <c r="AO29" s="150"/>
      <c r="AP29" s="150"/>
      <c r="AQ29" s="151" t="s">
        <v>58</v>
      </c>
      <c r="AR29" s="151"/>
      <c r="AS29" s="151"/>
      <c r="AT29" s="23" t="s">
        <v>39</v>
      </c>
      <c r="AU29" s="152" t="s">
        <v>58</v>
      </c>
      <c r="AV29" s="152"/>
      <c r="AW29" s="153"/>
      <c r="AX29" s="144"/>
      <c r="AY29" s="145"/>
      <c r="AZ29" s="145"/>
      <c r="BA29" s="145"/>
      <c r="BB29" s="145"/>
      <c r="BC29" s="145"/>
      <c r="BD29" s="145"/>
      <c r="BE29" s="145"/>
      <c r="BF29" s="145"/>
      <c r="BG29" s="145"/>
      <c r="BH29" s="145"/>
      <c r="BI29" s="145"/>
      <c r="BJ29" s="145"/>
      <c r="BK29" s="145"/>
      <c r="BL29" s="145"/>
      <c r="BM29" s="145"/>
      <c r="BN29" s="146"/>
    </row>
    <row r="30" spans="1:75" ht="17.25" customHeight="1">
      <c r="A30" s="106">
        <v>5</v>
      </c>
      <c r="B30" s="154"/>
      <c r="C30" s="155"/>
      <c r="D30" s="155"/>
      <c r="E30" s="155"/>
      <c r="F30" s="156"/>
      <c r="G30" s="160"/>
      <c r="H30" s="161"/>
      <c r="I30" s="161"/>
      <c r="J30" s="161"/>
      <c r="K30" s="161"/>
      <c r="L30" s="161"/>
      <c r="M30" s="161"/>
      <c r="N30" s="161"/>
      <c r="O30" s="161"/>
      <c r="P30" s="161"/>
      <c r="Q30" s="161"/>
      <c r="R30" s="161"/>
      <c r="S30" s="162"/>
      <c r="T30" s="166"/>
      <c r="U30" s="167"/>
      <c r="V30" s="167"/>
      <c r="W30" s="167"/>
      <c r="X30" s="167"/>
      <c r="Y30" s="167"/>
      <c r="Z30" s="167"/>
      <c r="AA30" s="167"/>
      <c r="AB30" s="167"/>
      <c r="AC30" s="167"/>
      <c r="AD30" s="167"/>
      <c r="AE30" s="170"/>
      <c r="AF30" s="171"/>
      <c r="AG30" s="171"/>
      <c r="AH30" s="171"/>
      <c r="AI30" s="171"/>
      <c r="AJ30" s="171"/>
      <c r="AK30" s="26" t="s">
        <v>40</v>
      </c>
      <c r="AL30" s="138"/>
      <c r="AM30" s="139"/>
      <c r="AN30" s="139"/>
      <c r="AO30" s="139"/>
      <c r="AP30" s="139"/>
      <c r="AQ30" s="139"/>
      <c r="AR30" s="139"/>
      <c r="AS30" s="139"/>
      <c r="AT30" s="139"/>
      <c r="AU30" s="139"/>
      <c r="AV30" s="139"/>
      <c r="AW30" s="140"/>
      <c r="AX30" s="141"/>
      <c r="AY30" s="142"/>
      <c r="AZ30" s="142"/>
      <c r="BA30" s="142"/>
      <c r="BB30" s="142"/>
      <c r="BC30" s="142"/>
      <c r="BD30" s="142"/>
      <c r="BE30" s="142"/>
      <c r="BF30" s="142"/>
      <c r="BG30" s="142"/>
      <c r="BH30" s="142"/>
      <c r="BI30" s="142"/>
      <c r="BJ30" s="142"/>
      <c r="BK30" s="142"/>
      <c r="BL30" s="142"/>
      <c r="BM30" s="142"/>
      <c r="BN30" s="143"/>
    </row>
    <row r="31" spans="1:75" ht="17.25" customHeight="1">
      <c r="A31" s="106"/>
      <c r="B31" s="157"/>
      <c r="C31" s="158"/>
      <c r="D31" s="158"/>
      <c r="E31" s="158"/>
      <c r="F31" s="159"/>
      <c r="G31" s="163"/>
      <c r="H31" s="164"/>
      <c r="I31" s="164"/>
      <c r="J31" s="164"/>
      <c r="K31" s="164"/>
      <c r="L31" s="164"/>
      <c r="M31" s="164"/>
      <c r="N31" s="164"/>
      <c r="O31" s="164"/>
      <c r="P31" s="164"/>
      <c r="Q31" s="164"/>
      <c r="R31" s="164"/>
      <c r="S31" s="165"/>
      <c r="T31" s="168"/>
      <c r="U31" s="169"/>
      <c r="V31" s="169"/>
      <c r="W31" s="169"/>
      <c r="X31" s="169"/>
      <c r="Y31" s="169"/>
      <c r="Z31" s="169"/>
      <c r="AA31" s="169"/>
      <c r="AB31" s="169"/>
      <c r="AC31" s="169"/>
      <c r="AD31" s="169"/>
      <c r="AE31" s="147"/>
      <c r="AF31" s="148"/>
      <c r="AG31" s="148"/>
      <c r="AH31" s="148"/>
      <c r="AI31" s="148"/>
      <c r="AJ31" s="148"/>
      <c r="AK31" s="27" t="s">
        <v>47</v>
      </c>
      <c r="AL31" s="149" t="s">
        <v>67</v>
      </c>
      <c r="AM31" s="150"/>
      <c r="AN31" s="150"/>
      <c r="AO31" s="150"/>
      <c r="AP31" s="150"/>
      <c r="AQ31" s="151" t="s">
        <v>58</v>
      </c>
      <c r="AR31" s="151"/>
      <c r="AS31" s="151"/>
      <c r="AT31" s="23" t="s">
        <v>39</v>
      </c>
      <c r="AU31" s="152" t="s">
        <v>58</v>
      </c>
      <c r="AV31" s="152"/>
      <c r="AW31" s="153"/>
      <c r="AX31" s="144"/>
      <c r="AY31" s="145"/>
      <c r="AZ31" s="145"/>
      <c r="BA31" s="145"/>
      <c r="BB31" s="145"/>
      <c r="BC31" s="145"/>
      <c r="BD31" s="145"/>
      <c r="BE31" s="145"/>
      <c r="BF31" s="145"/>
      <c r="BG31" s="145"/>
      <c r="BH31" s="145"/>
      <c r="BI31" s="145"/>
      <c r="BJ31" s="145"/>
      <c r="BK31" s="145"/>
      <c r="BL31" s="145"/>
      <c r="BM31" s="145"/>
      <c r="BN31" s="146"/>
    </row>
    <row r="32" spans="1:75" ht="6.75" customHeight="1">
      <c r="BH32" s="30"/>
      <c r="BO32" s="30"/>
      <c r="BP32" s="30"/>
      <c r="BQ32" s="30"/>
      <c r="BR32" s="30"/>
      <c r="BS32" s="30"/>
      <c r="BT32" s="30"/>
      <c r="BU32" s="30"/>
      <c r="BV32" s="30"/>
      <c r="BW32" s="30"/>
    </row>
    <row r="33" spans="1:66" ht="17.25" customHeight="1">
      <c r="A33" s="132" t="s">
        <v>65</v>
      </c>
      <c r="B33" s="133"/>
      <c r="C33" s="133"/>
      <c r="D33" s="133"/>
      <c r="E33" s="133"/>
      <c r="F33" s="134"/>
      <c r="G33" s="21" t="s">
        <v>18</v>
      </c>
      <c r="H33" s="129"/>
      <c r="I33" s="129"/>
      <c r="J33" s="129"/>
      <c r="K33" s="129"/>
      <c r="L33" s="129"/>
      <c r="M33" s="129"/>
      <c r="N33" s="129"/>
      <c r="O33" s="20" t="s">
        <v>14</v>
      </c>
      <c r="P33" s="129"/>
      <c r="Q33" s="129"/>
      <c r="R33" s="129"/>
      <c r="S33" s="129"/>
      <c r="T33" s="129"/>
      <c r="U33" s="129"/>
      <c r="V33" s="129"/>
      <c r="W33" s="19" t="s">
        <v>13</v>
      </c>
      <c r="X33" s="129"/>
      <c r="Y33" s="129"/>
      <c r="Z33" s="129"/>
      <c r="AA33" s="129"/>
      <c r="AB33" s="129"/>
      <c r="AC33" s="129"/>
      <c r="AD33" s="18" t="s">
        <v>12</v>
      </c>
      <c r="AE33" s="20" t="s">
        <v>16</v>
      </c>
      <c r="AF33" s="129"/>
      <c r="AG33" s="129"/>
      <c r="AH33" s="129"/>
      <c r="AI33" s="129"/>
      <c r="AJ33" s="129"/>
      <c r="AK33" s="129"/>
      <c r="AL33" s="129"/>
      <c r="AM33" s="20" t="s">
        <v>14</v>
      </c>
      <c r="AN33" s="129"/>
      <c r="AO33" s="129"/>
      <c r="AP33" s="129"/>
      <c r="AQ33" s="129"/>
      <c r="AR33" s="129"/>
      <c r="AS33" s="129"/>
      <c r="AT33" s="129"/>
      <c r="AU33" s="19" t="s">
        <v>13</v>
      </c>
      <c r="AV33" s="129"/>
      <c r="AW33" s="129"/>
      <c r="AX33" s="129"/>
      <c r="AY33" s="129"/>
      <c r="AZ33" s="129"/>
      <c r="BA33" s="129"/>
      <c r="BB33" s="18" t="s">
        <v>12</v>
      </c>
      <c r="BC33" s="97" t="s">
        <v>95</v>
      </c>
      <c r="BD33" s="98"/>
      <c r="BE33" s="130" t="s">
        <v>11</v>
      </c>
      <c r="BF33" s="130"/>
      <c r="BG33" s="130"/>
      <c r="BH33" s="130"/>
      <c r="BI33" s="130"/>
      <c r="BJ33" s="10"/>
      <c r="BK33" s="10"/>
      <c r="BL33" s="10"/>
      <c r="BM33" s="10"/>
      <c r="BN33" s="9"/>
    </row>
    <row r="34" spans="1:66" ht="17.25" customHeight="1">
      <c r="A34" s="135"/>
      <c r="B34" s="136"/>
      <c r="C34" s="136"/>
      <c r="D34" s="136"/>
      <c r="E34" s="136"/>
      <c r="F34" s="137"/>
      <c r="G34" s="17" t="s">
        <v>17</v>
      </c>
      <c r="H34" s="131"/>
      <c r="I34" s="131"/>
      <c r="J34" s="131"/>
      <c r="K34" s="131"/>
      <c r="L34" s="131"/>
      <c r="M34" s="131"/>
      <c r="N34" s="131"/>
      <c r="O34" s="16" t="s">
        <v>14</v>
      </c>
      <c r="P34" s="131"/>
      <c r="Q34" s="131"/>
      <c r="R34" s="131"/>
      <c r="S34" s="131"/>
      <c r="T34" s="131"/>
      <c r="U34" s="131"/>
      <c r="V34" s="131"/>
      <c r="W34" s="15" t="s">
        <v>13</v>
      </c>
      <c r="X34" s="131"/>
      <c r="Y34" s="131"/>
      <c r="Z34" s="131"/>
      <c r="AA34" s="131"/>
      <c r="AB34" s="131"/>
      <c r="AC34" s="131"/>
      <c r="AD34" s="14" t="s">
        <v>12</v>
      </c>
      <c r="AE34" s="16" t="s">
        <v>15</v>
      </c>
      <c r="AF34" s="131"/>
      <c r="AG34" s="131"/>
      <c r="AH34" s="131"/>
      <c r="AI34" s="131"/>
      <c r="AJ34" s="131"/>
      <c r="AK34" s="131"/>
      <c r="AL34" s="131"/>
      <c r="AM34" s="16" t="s">
        <v>14</v>
      </c>
      <c r="AN34" s="131"/>
      <c r="AO34" s="131"/>
      <c r="AP34" s="131"/>
      <c r="AQ34" s="131"/>
      <c r="AR34" s="131"/>
      <c r="AS34" s="131"/>
      <c r="AT34" s="131"/>
      <c r="AU34" s="15" t="s">
        <v>13</v>
      </c>
      <c r="AV34" s="131"/>
      <c r="AW34" s="131"/>
      <c r="AX34" s="131"/>
      <c r="AY34" s="131"/>
      <c r="AZ34" s="131"/>
      <c r="BA34" s="131"/>
      <c r="BB34" s="14" t="s">
        <v>12</v>
      </c>
      <c r="BC34" s="8" t="s">
        <v>46</v>
      </c>
      <c r="BD34" s="4"/>
      <c r="BE34" s="4"/>
      <c r="BF34" s="4"/>
      <c r="BG34" s="4"/>
      <c r="BH34" s="4"/>
      <c r="BI34" s="4"/>
      <c r="BJ34" s="4"/>
      <c r="BK34" s="4"/>
      <c r="BL34" s="4"/>
      <c r="BM34" s="4"/>
      <c r="BN34" s="11"/>
    </row>
    <row r="35" spans="1:66" ht="16.5" customHeight="1">
      <c r="P35" s="3"/>
      <c r="BC35" s="122" t="s">
        <v>61</v>
      </c>
      <c r="BD35" s="122"/>
      <c r="BE35" s="122"/>
      <c r="BF35" s="122"/>
      <c r="BG35" s="122"/>
      <c r="BH35" s="122"/>
      <c r="BI35" s="122"/>
      <c r="BJ35" s="122"/>
      <c r="BK35" s="122"/>
      <c r="BL35" s="122"/>
      <c r="BM35" s="122"/>
      <c r="BN35" s="122"/>
    </row>
    <row r="36" spans="1:66" ht="6.75" customHeight="1">
      <c r="P36" s="3"/>
      <c r="BH36" s="30"/>
    </row>
    <row r="37" spans="1:66" ht="12.75" customHeight="1">
      <c r="A37" s="123" t="s">
        <v>68</v>
      </c>
      <c r="B37" s="123"/>
      <c r="C37" s="123"/>
      <c r="D37" s="123"/>
      <c r="E37" s="123"/>
      <c r="F37" s="124" t="s">
        <v>45</v>
      </c>
      <c r="G37" s="124"/>
      <c r="H37" s="124"/>
      <c r="I37" s="124"/>
      <c r="J37" s="124"/>
      <c r="K37" s="124"/>
      <c r="P37" s="3"/>
      <c r="BH37" s="30"/>
    </row>
    <row r="38" spans="1:66" ht="12.75" customHeight="1">
      <c r="A38" s="123"/>
      <c r="B38" s="123"/>
      <c r="C38" s="123"/>
      <c r="D38" s="123"/>
      <c r="E38" s="123"/>
      <c r="F38" s="124"/>
      <c r="G38" s="124"/>
      <c r="H38" s="124"/>
      <c r="I38" s="124"/>
      <c r="J38" s="124"/>
      <c r="K38" s="124"/>
      <c r="P38" s="3"/>
      <c r="BH38" s="30"/>
    </row>
    <row r="39" spans="1:66" ht="6.75" customHeight="1">
      <c r="P39" s="3"/>
      <c r="BH39" s="30"/>
    </row>
    <row r="40" spans="1:66" ht="18.75" customHeight="1">
      <c r="A40" s="100" t="s">
        <v>25</v>
      </c>
      <c r="B40" s="101"/>
      <c r="C40" s="101"/>
      <c r="D40" s="101"/>
      <c r="E40" s="101"/>
      <c r="F40" s="102"/>
      <c r="G40" s="125" t="s">
        <v>24</v>
      </c>
      <c r="H40" s="126"/>
      <c r="I40" s="126"/>
      <c r="J40" s="126"/>
      <c r="K40" s="126"/>
      <c r="L40" s="126"/>
      <c r="M40" s="126"/>
      <c r="N40" s="126"/>
      <c r="O40" s="127" t="s">
        <v>23</v>
      </c>
      <c r="P40" s="127"/>
      <c r="Q40" s="127"/>
      <c r="R40" s="127"/>
      <c r="S40" s="127"/>
      <c r="T40" s="127"/>
      <c r="U40" s="127"/>
      <c r="V40" s="127"/>
      <c r="W40" s="127"/>
      <c r="X40" s="127"/>
      <c r="Y40" s="127"/>
      <c r="Z40" s="127"/>
      <c r="AA40" s="127"/>
      <c r="AB40" s="127"/>
      <c r="AC40" s="127"/>
      <c r="AD40" s="127"/>
      <c r="AE40" s="127"/>
      <c r="AF40" s="127"/>
      <c r="AG40" s="128"/>
      <c r="BH40" s="30"/>
    </row>
    <row r="41" spans="1:66" ht="18.75" customHeight="1">
      <c r="A41" s="109"/>
      <c r="B41" s="110"/>
      <c r="C41" s="110"/>
      <c r="D41" s="110"/>
      <c r="E41" s="110"/>
      <c r="F41" s="111"/>
      <c r="G41" s="114" t="str">
        <f>IF(OR(O40="基盤研究費",O40="自己負担（精算なし）",O40=""),"",IF(O40="大学運営経費","予算名称",IF(COUNTIF(O40,"*科研費*"),"種目",IF(O40="先方負担","負担種別（全額/一部）",IF(O40="その他","詳細","資金(ﾌﾟﾛｼﾞｪｸﾄ)名称")))))</f>
        <v>資金(ﾌﾟﾛｼﾞｪｸﾄ)名称</v>
      </c>
      <c r="H41" s="115"/>
      <c r="I41" s="115"/>
      <c r="J41" s="115"/>
      <c r="K41" s="115"/>
      <c r="L41" s="115"/>
      <c r="M41" s="115"/>
      <c r="N41" s="115"/>
      <c r="O41" s="116"/>
      <c r="P41" s="116"/>
      <c r="Q41" s="116"/>
      <c r="R41" s="116"/>
      <c r="S41" s="116"/>
      <c r="T41" s="116"/>
      <c r="U41" s="116"/>
      <c r="V41" s="116"/>
      <c r="W41" s="116"/>
      <c r="X41" s="116"/>
      <c r="Y41" s="116"/>
      <c r="Z41" s="116"/>
      <c r="AA41" s="116"/>
      <c r="AB41" s="116"/>
      <c r="AC41" s="116"/>
      <c r="AD41" s="116"/>
      <c r="AE41" s="116"/>
      <c r="AF41" s="116"/>
      <c r="AG41" s="117"/>
      <c r="BH41" s="30"/>
    </row>
    <row r="42" spans="1:66" ht="17.25" customHeight="1">
      <c r="A42" s="109"/>
      <c r="B42" s="110"/>
      <c r="C42" s="110"/>
      <c r="D42" s="110"/>
      <c r="E42" s="110"/>
      <c r="F42" s="111"/>
      <c r="G42" s="114" t="str">
        <f>+IF(OR(O40="基盤研究費",O40="大学運営経費",O40="自己負担（精算なし）",O40="その他",O40=""),"",IF(O40="先方負担","先方負担先名",IF(COUNTIF(O40,"*科研費*"),"研究代表者名","経費区分（直接/間接）")))</f>
        <v>経費区分（直接/間接）</v>
      </c>
      <c r="H42" s="115"/>
      <c r="I42" s="115"/>
      <c r="J42" s="115"/>
      <c r="K42" s="115"/>
      <c r="L42" s="115"/>
      <c r="M42" s="115"/>
      <c r="N42" s="115"/>
      <c r="O42" s="116"/>
      <c r="P42" s="116"/>
      <c r="Q42" s="116"/>
      <c r="R42" s="116"/>
      <c r="S42" s="116"/>
      <c r="T42" s="116"/>
      <c r="U42" s="116"/>
      <c r="V42" s="116"/>
      <c r="W42" s="116"/>
      <c r="X42" s="116"/>
      <c r="Y42" s="116"/>
      <c r="Z42" s="116"/>
      <c r="AA42" s="116"/>
      <c r="AB42" s="116"/>
      <c r="AC42" s="116"/>
      <c r="AD42" s="116"/>
      <c r="AE42" s="116"/>
      <c r="AF42" s="116"/>
      <c r="AG42" s="117"/>
      <c r="BH42" s="30"/>
    </row>
    <row r="43" spans="1:66" ht="17.25" customHeight="1">
      <c r="A43" s="109"/>
      <c r="B43" s="110"/>
      <c r="C43" s="110"/>
      <c r="D43" s="110"/>
      <c r="E43" s="110"/>
      <c r="F43" s="111"/>
      <c r="G43" s="114" t="str">
        <f>+IF(OR(O40="基盤研究費",O40="大学運営経費",O40="自己負担（精算なし）",O40="その他",O40=""),"",IF(O40="先方負担","先方負担内容",IF(COUNTIF(O40,"*科研費*"),"所管（ﾌﾟﾛｼﾞｪｸﾄ）名称","ﾌﾟﾛｼﾞｪｸﾄNo.(ｺｰﾄﾞ)")))</f>
        <v>ﾌﾟﾛｼﾞｪｸﾄNo.(ｺｰﾄﾞ)</v>
      </c>
      <c r="H43" s="115"/>
      <c r="I43" s="115"/>
      <c r="J43" s="115"/>
      <c r="K43" s="115"/>
      <c r="L43" s="115"/>
      <c r="M43" s="115"/>
      <c r="N43" s="115"/>
      <c r="O43" s="116"/>
      <c r="P43" s="116"/>
      <c r="Q43" s="116"/>
      <c r="R43" s="116"/>
      <c r="S43" s="116"/>
      <c r="T43" s="116"/>
      <c r="U43" s="116"/>
      <c r="V43" s="116"/>
      <c r="W43" s="116"/>
      <c r="X43" s="116"/>
      <c r="Y43" s="116"/>
      <c r="Z43" s="116"/>
      <c r="AA43" s="116"/>
      <c r="AB43" s="116"/>
      <c r="AC43" s="116"/>
      <c r="AD43" s="116"/>
      <c r="AE43" s="116"/>
      <c r="AF43" s="116"/>
      <c r="AG43" s="117"/>
      <c r="BH43" s="30"/>
    </row>
    <row r="44" spans="1:66" ht="17.25" customHeight="1">
      <c r="A44" s="109"/>
      <c r="B44" s="110"/>
      <c r="C44" s="110"/>
      <c r="D44" s="110"/>
      <c r="E44" s="110"/>
      <c r="F44" s="111"/>
      <c r="G44" s="114" t="str">
        <f>IF(COUNTIF(O40,"*科研費*"),"ﾌﾟﾛｼﾞｪｸﾄNo.(ｺｰﾄﾞ)","")</f>
        <v/>
      </c>
      <c r="H44" s="115"/>
      <c r="I44" s="115"/>
      <c r="J44" s="115"/>
      <c r="K44" s="115"/>
      <c r="L44" s="115"/>
      <c r="M44" s="115"/>
      <c r="N44" s="115"/>
      <c r="O44" s="116"/>
      <c r="P44" s="116"/>
      <c r="Q44" s="116"/>
      <c r="R44" s="116"/>
      <c r="S44" s="116"/>
      <c r="T44" s="116"/>
      <c r="U44" s="116"/>
      <c r="V44" s="116"/>
      <c r="W44" s="116"/>
      <c r="X44" s="116"/>
      <c r="Y44" s="116"/>
      <c r="Z44" s="116"/>
      <c r="AA44" s="116"/>
      <c r="AB44" s="116"/>
      <c r="AC44" s="116"/>
      <c r="AD44" s="116"/>
      <c r="AE44" s="116"/>
      <c r="AF44" s="116"/>
      <c r="AG44" s="117"/>
      <c r="BH44" s="30"/>
    </row>
    <row r="45" spans="1:66" ht="17.25" customHeight="1">
      <c r="A45" s="103"/>
      <c r="B45" s="104"/>
      <c r="C45" s="104"/>
      <c r="D45" s="104"/>
      <c r="E45" s="104"/>
      <c r="F45" s="105"/>
      <c r="G45" s="118" t="s">
        <v>22</v>
      </c>
      <c r="H45" s="119"/>
      <c r="I45" s="119"/>
      <c r="J45" s="119"/>
      <c r="K45" s="119"/>
      <c r="L45" s="119"/>
      <c r="M45" s="119"/>
      <c r="N45" s="119"/>
      <c r="O45" s="120"/>
      <c r="P45" s="120"/>
      <c r="Q45" s="120"/>
      <c r="R45" s="120"/>
      <c r="S45" s="120"/>
      <c r="T45" s="120"/>
      <c r="U45" s="120"/>
      <c r="V45" s="120"/>
      <c r="W45" s="120"/>
      <c r="X45" s="120"/>
      <c r="Y45" s="120"/>
      <c r="Z45" s="120"/>
      <c r="AA45" s="120"/>
      <c r="AB45" s="120"/>
      <c r="AC45" s="120"/>
      <c r="AD45" s="120"/>
      <c r="AE45" s="120"/>
      <c r="AF45" s="120"/>
      <c r="AG45" s="121"/>
      <c r="BH45" s="30"/>
    </row>
    <row r="46" spans="1:66" ht="17.25" customHeight="1">
      <c r="A46" s="100" t="s">
        <v>21</v>
      </c>
      <c r="B46" s="101"/>
      <c r="C46" s="101"/>
      <c r="D46" s="101"/>
      <c r="E46" s="101"/>
      <c r="F46" s="102"/>
      <c r="G46" s="93" t="s">
        <v>95</v>
      </c>
      <c r="H46" s="94"/>
      <c r="I46" s="89" t="s">
        <v>29</v>
      </c>
      <c r="J46" s="89"/>
      <c r="K46" s="89"/>
      <c r="L46" s="89"/>
      <c r="M46" s="89"/>
      <c r="N46" s="89"/>
      <c r="O46" s="94" t="s">
        <v>95</v>
      </c>
      <c r="P46" s="94"/>
      <c r="Q46" s="89" t="s">
        <v>28</v>
      </c>
      <c r="R46" s="89"/>
      <c r="S46" s="89"/>
      <c r="T46" s="89"/>
      <c r="U46" s="89"/>
      <c r="V46" s="89"/>
      <c r="W46" s="36"/>
      <c r="X46" s="36"/>
      <c r="Y46" s="36"/>
      <c r="Z46" s="36"/>
      <c r="AA46" s="36"/>
      <c r="AB46" s="36"/>
      <c r="AC46" s="36"/>
      <c r="AD46" s="36"/>
      <c r="AE46" s="36"/>
      <c r="AF46" s="32"/>
      <c r="AG46" s="31"/>
      <c r="BH46" s="30"/>
    </row>
    <row r="47" spans="1:66" ht="17.25" customHeight="1">
      <c r="A47" s="109"/>
      <c r="B47" s="110"/>
      <c r="C47" s="110"/>
      <c r="D47" s="110"/>
      <c r="E47" s="110"/>
      <c r="F47" s="111"/>
      <c r="G47" s="112" t="s">
        <v>95</v>
      </c>
      <c r="H47" s="108"/>
      <c r="I47" s="113" t="s">
        <v>36</v>
      </c>
      <c r="J47" s="113"/>
      <c r="K47" s="113"/>
      <c r="L47" s="113"/>
      <c r="M47" s="113"/>
      <c r="N47" s="113"/>
      <c r="O47" s="108" t="s">
        <v>95</v>
      </c>
      <c r="P47" s="108"/>
      <c r="Q47" s="113" t="s">
        <v>35</v>
      </c>
      <c r="R47" s="113"/>
      <c r="S47" s="113"/>
      <c r="T47" s="113"/>
      <c r="U47" s="113"/>
      <c r="V47" s="113"/>
      <c r="W47" s="108" t="s">
        <v>95</v>
      </c>
      <c r="X47" s="108"/>
      <c r="Y47" s="33" t="s">
        <v>34</v>
      </c>
      <c r="Z47" s="33"/>
      <c r="AA47" s="33"/>
      <c r="AB47" s="33"/>
      <c r="AC47" s="33"/>
      <c r="AD47" s="33"/>
      <c r="AE47" s="33"/>
      <c r="AF47" s="34"/>
      <c r="AG47" s="35"/>
      <c r="BH47" s="30"/>
    </row>
    <row r="48" spans="1:66" ht="17.25" customHeight="1">
      <c r="A48" s="103"/>
      <c r="B48" s="104"/>
      <c r="C48" s="104"/>
      <c r="D48" s="104"/>
      <c r="E48" s="104"/>
      <c r="F48" s="105"/>
      <c r="G48" s="95" t="s">
        <v>95</v>
      </c>
      <c r="H48" s="96"/>
      <c r="I48" s="91" t="s">
        <v>7</v>
      </c>
      <c r="J48" s="91"/>
      <c r="K48" s="91"/>
      <c r="L48" s="91"/>
      <c r="M48" s="91"/>
      <c r="N48" s="91"/>
      <c r="O48" s="96" t="s">
        <v>95</v>
      </c>
      <c r="P48" s="96"/>
      <c r="Q48" s="91" t="s">
        <v>33</v>
      </c>
      <c r="R48" s="91"/>
      <c r="S48" s="91"/>
      <c r="T48" s="91"/>
      <c r="U48" s="91"/>
      <c r="V48" s="91"/>
      <c r="W48" s="96" t="s">
        <v>95</v>
      </c>
      <c r="X48" s="96"/>
      <c r="Y48" s="37" t="s">
        <v>32</v>
      </c>
      <c r="Z48" s="37"/>
      <c r="AA48" s="37"/>
      <c r="AB48" s="37"/>
      <c r="AC48" s="37"/>
      <c r="AD48" s="37"/>
      <c r="AE48" s="37"/>
      <c r="AF48" s="37"/>
      <c r="AG48" s="38"/>
      <c r="BH48" s="30"/>
    </row>
    <row r="49" spans="1:75" ht="17.25" customHeight="1">
      <c r="A49" s="100" t="s">
        <v>44</v>
      </c>
      <c r="B49" s="101"/>
      <c r="C49" s="101"/>
      <c r="D49" s="101"/>
      <c r="E49" s="101"/>
      <c r="F49" s="102"/>
      <c r="G49" s="93" t="s">
        <v>95</v>
      </c>
      <c r="H49" s="94"/>
      <c r="I49" s="89" t="s">
        <v>94</v>
      </c>
      <c r="J49" s="89"/>
      <c r="K49" s="89"/>
      <c r="L49" s="89"/>
      <c r="M49" s="89"/>
      <c r="N49" s="89"/>
      <c r="O49" s="89"/>
      <c r="P49" s="89"/>
      <c r="Q49" s="89"/>
      <c r="R49" s="89"/>
      <c r="S49" s="89"/>
      <c r="T49" s="89"/>
      <c r="U49" s="89"/>
      <c r="V49" s="89"/>
      <c r="W49" s="89"/>
      <c r="X49" s="89"/>
      <c r="Y49" s="89"/>
      <c r="Z49" s="89"/>
      <c r="AA49" s="89"/>
      <c r="AB49" s="89"/>
      <c r="AC49" s="89"/>
      <c r="AD49" s="89"/>
      <c r="AE49" s="89"/>
      <c r="AF49" s="89"/>
      <c r="AG49" s="90"/>
      <c r="BH49" s="30"/>
    </row>
    <row r="50" spans="1:75" ht="17.25" customHeight="1">
      <c r="A50" s="103"/>
      <c r="B50" s="104"/>
      <c r="C50" s="104"/>
      <c r="D50" s="104"/>
      <c r="E50" s="104"/>
      <c r="F50" s="105"/>
      <c r="G50" s="95"/>
      <c r="H50" s="96"/>
      <c r="I50" s="91"/>
      <c r="J50" s="91"/>
      <c r="K50" s="91"/>
      <c r="L50" s="91"/>
      <c r="M50" s="91"/>
      <c r="N50" s="91"/>
      <c r="O50" s="91"/>
      <c r="P50" s="91"/>
      <c r="Q50" s="91"/>
      <c r="R50" s="91"/>
      <c r="S50" s="91"/>
      <c r="T50" s="91"/>
      <c r="U50" s="91"/>
      <c r="V50" s="91"/>
      <c r="W50" s="91"/>
      <c r="X50" s="91"/>
      <c r="Y50" s="91"/>
      <c r="Z50" s="91"/>
      <c r="AA50" s="91"/>
      <c r="AB50" s="91"/>
      <c r="AC50" s="91"/>
      <c r="AD50" s="91"/>
      <c r="AE50" s="91"/>
      <c r="AF50" s="91"/>
      <c r="AG50" s="92"/>
      <c r="BH50" s="30"/>
    </row>
    <row r="51" spans="1:75" ht="17.25" customHeight="1">
      <c r="A51" s="100" t="s">
        <v>70</v>
      </c>
      <c r="B51" s="101"/>
      <c r="C51" s="101"/>
      <c r="D51" s="101"/>
      <c r="E51" s="101"/>
      <c r="F51" s="102"/>
      <c r="G51" s="93" t="s">
        <v>95</v>
      </c>
      <c r="H51" s="94"/>
      <c r="I51" s="89" t="s">
        <v>96</v>
      </c>
      <c r="J51" s="89"/>
      <c r="K51" s="89"/>
      <c r="L51" s="89"/>
      <c r="M51" s="89"/>
      <c r="N51" s="89"/>
      <c r="O51" s="89"/>
      <c r="P51" s="89"/>
      <c r="Q51" s="89"/>
      <c r="R51" s="89"/>
      <c r="S51" s="89"/>
      <c r="T51" s="89"/>
      <c r="U51" s="89"/>
      <c r="V51" s="89"/>
      <c r="W51" s="89"/>
      <c r="X51" s="89"/>
      <c r="Y51" s="89"/>
      <c r="Z51" s="89"/>
      <c r="AA51" s="89"/>
      <c r="AB51" s="89"/>
      <c r="AC51" s="89"/>
      <c r="AD51" s="89"/>
      <c r="AE51" s="89"/>
      <c r="AF51" s="89"/>
      <c r="AG51" s="90"/>
      <c r="BH51" s="30"/>
    </row>
    <row r="52" spans="1:75" ht="17.25" customHeight="1">
      <c r="A52" s="103"/>
      <c r="B52" s="104"/>
      <c r="C52" s="104"/>
      <c r="D52" s="104"/>
      <c r="E52" s="104"/>
      <c r="F52" s="105"/>
      <c r="G52" s="95"/>
      <c r="H52" s="96"/>
      <c r="I52" s="91"/>
      <c r="J52" s="91"/>
      <c r="K52" s="91"/>
      <c r="L52" s="91"/>
      <c r="M52" s="91"/>
      <c r="N52" s="91"/>
      <c r="O52" s="91"/>
      <c r="P52" s="91"/>
      <c r="Q52" s="91"/>
      <c r="R52" s="91"/>
      <c r="S52" s="91"/>
      <c r="T52" s="91"/>
      <c r="U52" s="91"/>
      <c r="V52" s="91"/>
      <c r="W52" s="91"/>
      <c r="X52" s="91"/>
      <c r="Y52" s="91"/>
      <c r="Z52" s="91"/>
      <c r="AA52" s="91"/>
      <c r="AB52" s="91"/>
      <c r="AC52" s="91"/>
      <c r="AD52" s="91"/>
      <c r="AE52" s="91"/>
      <c r="AF52" s="91"/>
      <c r="AG52" s="92"/>
      <c r="BH52" s="30"/>
    </row>
    <row r="53" spans="1:75" ht="17.25" customHeight="1">
      <c r="A53" s="106" t="s">
        <v>56</v>
      </c>
      <c r="B53" s="106"/>
      <c r="C53" s="106"/>
      <c r="D53" s="106"/>
      <c r="E53" s="106"/>
      <c r="F53" s="106"/>
      <c r="G53" s="107"/>
      <c r="H53" s="107"/>
      <c r="I53" s="107"/>
      <c r="J53" s="107"/>
      <c r="K53" s="107"/>
      <c r="L53" s="107"/>
      <c r="M53" s="107"/>
      <c r="N53" s="107"/>
      <c r="O53" s="107"/>
      <c r="P53" s="107"/>
      <c r="Q53" s="107"/>
      <c r="R53" s="107"/>
      <c r="S53" s="107"/>
      <c r="T53" s="107"/>
      <c r="U53" s="107"/>
      <c r="V53" s="107"/>
      <c r="W53" s="107"/>
      <c r="X53" s="107"/>
      <c r="Y53" s="107"/>
      <c r="Z53" s="107"/>
      <c r="AA53" s="107"/>
      <c r="AB53" s="107"/>
      <c r="AC53" s="107"/>
      <c r="AD53" s="107"/>
      <c r="AE53" s="107"/>
      <c r="AF53" s="107"/>
      <c r="AG53" s="107"/>
      <c r="BH53" s="30"/>
      <c r="BO53" s="30"/>
      <c r="BP53" s="30"/>
      <c r="BQ53" s="30"/>
      <c r="BR53" s="30"/>
      <c r="BS53" s="30"/>
      <c r="BT53" s="30"/>
      <c r="BU53" s="30"/>
      <c r="BV53" s="30"/>
      <c r="BW53" s="30"/>
    </row>
    <row r="54" spans="1:75" ht="17.25" customHeight="1">
      <c r="A54" s="106"/>
      <c r="B54" s="106"/>
      <c r="C54" s="106"/>
      <c r="D54" s="106"/>
      <c r="E54" s="106"/>
      <c r="F54" s="106"/>
      <c r="G54" s="107"/>
      <c r="H54" s="107"/>
      <c r="I54" s="107"/>
      <c r="J54" s="107"/>
      <c r="K54" s="107"/>
      <c r="L54" s="107"/>
      <c r="M54" s="107"/>
      <c r="N54" s="107"/>
      <c r="O54" s="107"/>
      <c r="P54" s="107"/>
      <c r="Q54" s="107"/>
      <c r="R54" s="107"/>
      <c r="S54" s="107"/>
      <c r="T54" s="107"/>
      <c r="U54" s="107"/>
      <c r="V54" s="107"/>
      <c r="W54" s="107"/>
      <c r="X54" s="107"/>
      <c r="Y54" s="107"/>
      <c r="Z54" s="107"/>
      <c r="AA54" s="107"/>
      <c r="AB54" s="107"/>
      <c r="AC54" s="107"/>
      <c r="AD54" s="107"/>
      <c r="AE54" s="107"/>
      <c r="AF54" s="107"/>
      <c r="AG54" s="107"/>
      <c r="BH54" s="30"/>
      <c r="BO54" s="30"/>
      <c r="BP54" s="30"/>
      <c r="BQ54" s="30"/>
      <c r="BR54" s="30"/>
      <c r="BS54" s="30"/>
      <c r="BT54" s="30"/>
      <c r="BU54" s="30"/>
      <c r="BV54" s="30"/>
      <c r="BW54" s="30"/>
    </row>
    <row r="55" spans="1:75" ht="17.25" customHeight="1">
      <c r="A55" s="106"/>
      <c r="B55" s="106"/>
      <c r="C55" s="106"/>
      <c r="D55" s="106"/>
      <c r="E55" s="106"/>
      <c r="F55" s="106"/>
      <c r="G55" s="107"/>
      <c r="H55" s="107"/>
      <c r="I55" s="107"/>
      <c r="J55" s="107"/>
      <c r="K55" s="107"/>
      <c r="L55" s="107"/>
      <c r="M55" s="107"/>
      <c r="N55" s="107"/>
      <c r="O55" s="107"/>
      <c r="P55" s="107"/>
      <c r="Q55" s="107"/>
      <c r="R55" s="107"/>
      <c r="S55" s="107"/>
      <c r="T55" s="107"/>
      <c r="U55" s="107"/>
      <c r="V55" s="107"/>
      <c r="W55" s="107"/>
      <c r="X55" s="107"/>
      <c r="Y55" s="107"/>
      <c r="Z55" s="107"/>
      <c r="AA55" s="107"/>
      <c r="AB55" s="107"/>
      <c r="AC55" s="107"/>
      <c r="AD55" s="107"/>
      <c r="AE55" s="107"/>
      <c r="AF55" s="107"/>
      <c r="AG55" s="107"/>
      <c r="BH55" s="30"/>
      <c r="BO55" s="30"/>
      <c r="BP55" s="30"/>
      <c r="BQ55" s="30"/>
      <c r="BR55" s="30"/>
      <c r="BS55" s="30"/>
      <c r="BT55" s="30"/>
      <c r="BU55" s="30"/>
      <c r="BV55" s="30"/>
      <c r="BW55" s="30"/>
    </row>
    <row r="56" spans="1:75" ht="17.25" customHeight="1">
      <c r="A56" s="106"/>
      <c r="B56" s="106"/>
      <c r="C56" s="106"/>
      <c r="D56" s="106"/>
      <c r="E56" s="106"/>
      <c r="F56" s="106"/>
      <c r="G56" s="107"/>
      <c r="H56" s="107"/>
      <c r="I56" s="107"/>
      <c r="J56" s="107"/>
      <c r="K56" s="107"/>
      <c r="L56" s="107"/>
      <c r="M56" s="107"/>
      <c r="N56" s="107"/>
      <c r="O56" s="107"/>
      <c r="P56" s="107"/>
      <c r="Q56" s="107"/>
      <c r="R56" s="107"/>
      <c r="S56" s="107"/>
      <c r="T56" s="107"/>
      <c r="U56" s="107"/>
      <c r="V56" s="107"/>
      <c r="W56" s="107"/>
      <c r="X56" s="107"/>
      <c r="Y56" s="107"/>
      <c r="Z56" s="107"/>
      <c r="AA56" s="107"/>
      <c r="AB56" s="107"/>
      <c r="AC56" s="107"/>
      <c r="AD56" s="107"/>
      <c r="AE56" s="107"/>
      <c r="AF56" s="107"/>
      <c r="AG56" s="107"/>
      <c r="BH56" s="30"/>
      <c r="BO56" s="30"/>
      <c r="BP56" s="30"/>
      <c r="BQ56" s="30"/>
      <c r="BR56" s="30"/>
      <c r="BS56" s="30"/>
      <c r="BT56" s="30"/>
      <c r="BU56" s="30"/>
      <c r="BV56" s="30"/>
      <c r="BW56" s="30"/>
    </row>
    <row r="57" spans="1:75" ht="18" customHeight="1">
      <c r="BH57" s="30"/>
      <c r="BP57" s="30"/>
      <c r="BR57" s="30"/>
      <c r="BT57" s="30"/>
      <c r="BU57" s="30"/>
      <c r="BV57" s="30"/>
      <c r="BW57" s="30"/>
    </row>
    <row r="58" spans="1:75" ht="17.25" customHeight="1">
      <c r="A58" s="2" t="s">
        <v>59</v>
      </c>
      <c r="AT58" s="3"/>
      <c r="BA58" s="3"/>
      <c r="BJ58" s="3"/>
    </row>
    <row r="59" spans="1:75" ht="4.95" customHeight="1">
      <c r="AT59" s="3"/>
      <c r="BA59" s="3"/>
      <c r="BJ59" s="3"/>
    </row>
    <row r="60" spans="1:75" ht="17.25" customHeight="1">
      <c r="A60" s="12" t="s">
        <v>43</v>
      </c>
      <c r="AT60" s="3"/>
      <c r="BA60" s="3"/>
      <c r="BJ60" s="3"/>
    </row>
    <row r="61" spans="1:75" ht="17.25" customHeight="1">
      <c r="A61" s="12" t="s">
        <v>54</v>
      </c>
      <c r="BH61" s="30"/>
      <c r="BO61" s="30"/>
      <c r="BP61" s="30"/>
      <c r="BQ61" s="30"/>
      <c r="BR61" s="30"/>
      <c r="BS61" s="30"/>
      <c r="BT61" s="30"/>
      <c r="BU61" s="30"/>
      <c r="BV61" s="30"/>
      <c r="BW61" s="30"/>
    </row>
    <row r="62" spans="1:75" ht="17.25" customHeight="1">
      <c r="A62" s="12" t="s">
        <v>42</v>
      </c>
      <c r="BH62" s="30"/>
      <c r="BO62" s="30"/>
      <c r="BP62" s="30"/>
      <c r="BQ62" s="30"/>
      <c r="BR62" s="30"/>
      <c r="BS62" s="30"/>
      <c r="BT62" s="30"/>
      <c r="BU62" s="30"/>
      <c r="BV62" s="30"/>
      <c r="BW62" s="30"/>
    </row>
    <row r="63" spans="1:75" s="24" customFormat="1" ht="17.25" customHeight="1">
      <c r="A63" s="24" t="s">
        <v>63</v>
      </c>
      <c r="I63" s="25"/>
      <c r="J63" s="25"/>
      <c r="K63" s="25"/>
      <c r="L63" s="25"/>
      <c r="M63" s="25"/>
      <c r="N63" s="25"/>
      <c r="O63" s="25"/>
      <c r="P63" s="25"/>
      <c r="Q63" s="25"/>
      <c r="R63" s="25"/>
      <c r="AJ63" s="25"/>
      <c r="AK63" s="25"/>
      <c r="AL63" s="25"/>
      <c r="AM63" s="25"/>
      <c r="AN63" s="25"/>
    </row>
    <row r="64" spans="1:75" ht="18.75" customHeight="1">
      <c r="A64" s="2" t="s">
        <v>71</v>
      </c>
      <c r="L64" s="3"/>
      <c r="M64" s="3"/>
      <c r="N64" s="3"/>
      <c r="O64" s="3"/>
      <c r="P64" s="3"/>
      <c r="Q64" s="3"/>
      <c r="AL64" s="3"/>
      <c r="AM64" s="3"/>
    </row>
    <row r="65" spans="1:75" ht="17.25" customHeight="1">
      <c r="A65" s="2" t="s">
        <v>64</v>
      </c>
      <c r="BG65" s="99" t="s">
        <v>62</v>
      </c>
      <c r="BH65" s="99"/>
      <c r="BI65" s="99"/>
      <c r="BJ65" s="99"/>
      <c r="BK65" s="99"/>
      <c r="BL65" s="99"/>
      <c r="BM65" s="99"/>
      <c r="BN65" s="99"/>
    </row>
    <row r="66" spans="1:75" ht="17.25" customHeight="1">
      <c r="BH66" s="30"/>
      <c r="BO66" s="30"/>
      <c r="BP66" s="30"/>
      <c r="BQ66" s="30"/>
      <c r="BR66" s="30"/>
      <c r="BS66" s="30"/>
      <c r="BT66" s="30"/>
      <c r="BU66" s="30"/>
      <c r="BV66" s="30"/>
      <c r="BW66" s="30"/>
    </row>
    <row r="67" spans="1:75" ht="12.75" customHeight="1"/>
  </sheetData>
  <mergeCells count="161">
    <mergeCell ref="BE6:BN7"/>
    <mergeCell ref="A8:F9"/>
    <mergeCell ref="G8:AG8"/>
    <mergeCell ref="AH8:AM9"/>
    <mergeCell ref="AN8:BN9"/>
    <mergeCell ref="G9:M9"/>
    <mergeCell ref="N9:AG9"/>
    <mergeCell ref="BC1:BF1"/>
    <mergeCell ref="BG1:BJ1"/>
    <mergeCell ref="BK1:BN1"/>
    <mergeCell ref="AR2:AV4"/>
    <mergeCell ref="AY2:BB4"/>
    <mergeCell ref="BC2:BF4"/>
    <mergeCell ref="BG2:BJ4"/>
    <mergeCell ref="BK2:BN4"/>
    <mergeCell ref="A1:E2"/>
    <mergeCell ref="F1:K2"/>
    <mergeCell ref="U1:AO3"/>
    <mergeCell ref="AR1:AV1"/>
    <mergeCell ref="AX1:AX4"/>
    <mergeCell ref="AY1:BB1"/>
    <mergeCell ref="AN13:BN18"/>
    <mergeCell ref="A15:F16"/>
    <mergeCell ref="G15:O16"/>
    <mergeCell ref="P15:U16"/>
    <mergeCell ref="V15:AE15"/>
    <mergeCell ref="AF15:AG15"/>
    <mergeCell ref="V16:AE16"/>
    <mergeCell ref="AF16:AG16"/>
    <mergeCell ref="A13:F14"/>
    <mergeCell ref="G13:O14"/>
    <mergeCell ref="P13:Q14"/>
    <mergeCell ref="R13:Z14"/>
    <mergeCell ref="AA13:AB14"/>
    <mergeCell ref="AC13:AE14"/>
    <mergeCell ref="A17:F18"/>
    <mergeCell ref="G17:O18"/>
    <mergeCell ref="P17:U18"/>
    <mergeCell ref="V17:AE17"/>
    <mergeCell ref="AF17:AG17"/>
    <mergeCell ref="V18:AE18"/>
    <mergeCell ref="AF18:AG18"/>
    <mergeCell ref="AF13:AG14"/>
    <mergeCell ref="AH13:AM18"/>
    <mergeCell ref="AX20:BN21"/>
    <mergeCell ref="A22:A23"/>
    <mergeCell ref="B22:F23"/>
    <mergeCell ref="G22:S23"/>
    <mergeCell ref="T22:AD23"/>
    <mergeCell ref="AE22:AJ22"/>
    <mergeCell ref="AL22:AW22"/>
    <mergeCell ref="AX22:BN23"/>
    <mergeCell ref="AE23:AJ23"/>
    <mergeCell ref="AL23:AP23"/>
    <mergeCell ref="A20:A21"/>
    <mergeCell ref="B20:F21"/>
    <mergeCell ref="G20:S21"/>
    <mergeCell ref="T20:AD21"/>
    <mergeCell ref="AE20:AK21"/>
    <mergeCell ref="AL20:AW21"/>
    <mergeCell ref="A26:A27"/>
    <mergeCell ref="B26:F27"/>
    <mergeCell ref="G26:S27"/>
    <mergeCell ref="T26:AD27"/>
    <mergeCell ref="AE26:AJ26"/>
    <mergeCell ref="AQ23:AS23"/>
    <mergeCell ref="AU23:AW23"/>
    <mergeCell ref="A24:A25"/>
    <mergeCell ref="B24:F25"/>
    <mergeCell ref="G24:S25"/>
    <mergeCell ref="T24:AD25"/>
    <mergeCell ref="AE24:AJ24"/>
    <mergeCell ref="AL24:AW24"/>
    <mergeCell ref="AL26:AW26"/>
    <mergeCell ref="AX26:BN27"/>
    <mergeCell ref="AE27:AJ27"/>
    <mergeCell ref="AL27:AP27"/>
    <mergeCell ref="AQ27:AS27"/>
    <mergeCell ref="AU27:AW27"/>
    <mergeCell ref="AX24:BN25"/>
    <mergeCell ref="AE25:AJ25"/>
    <mergeCell ref="AL25:AP25"/>
    <mergeCell ref="AQ25:AS25"/>
    <mergeCell ref="AU25:AW25"/>
    <mergeCell ref="A30:A31"/>
    <mergeCell ref="B30:F31"/>
    <mergeCell ref="G30:S31"/>
    <mergeCell ref="T30:AD31"/>
    <mergeCell ref="AE30:AJ30"/>
    <mergeCell ref="A28:A29"/>
    <mergeCell ref="B28:F29"/>
    <mergeCell ref="G28:S29"/>
    <mergeCell ref="T28:AD29"/>
    <mergeCell ref="AE28:AJ28"/>
    <mergeCell ref="AL30:AW30"/>
    <mergeCell ref="AX30:BN31"/>
    <mergeCell ref="AE31:AJ31"/>
    <mergeCell ref="AL31:AP31"/>
    <mergeCell ref="AQ31:AS31"/>
    <mergeCell ref="AU31:AW31"/>
    <mergeCell ref="AX28:BN29"/>
    <mergeCell ref="AE29:AJ29"/>
    <mergeCell ref="AL29:AP29"/>
    <mergeCell ref="AQ29:AS29"/>
    <mergeCell ref="AU29:AW29"/>
    <mergeCell ref="AL28:AW28"/>
    <mergeCell ref="AV33:BA33"/>
    <mergeCell ref="BE33:BI33"/>
    <mergeCell ref="H34:N34"/>
    <mergeCell ref="P34:V34"/>
    <mergeCell ref="X34:AC34"/>
    <mergeCell ref="AF34:AL34"/>
    <mergeCell ref="AN34:AT34"/>
    <mergeCell ref="AV34:BA34"/>
    <mergeCell ref="A33:F34"/>
    <mergeCell ref="H33:N33"/>
    <mergeCell ref="P33:V33"/>
    <mergeCell ref="X33:AC33"/>
    <mergeCell ref="AF33:AL33"/>
    <mergeCell ref="AN33:AT33"/>
    <mergeCell ref="O46:P46"/>
    <mergeCell ref="G43:N43"/>
    <mergeCell ref="O43:AG43"/>
    <mergeCell ref="G44:N44"/>
    <mergeCell ref="O44:AG44"/>
    <mergeCell ref="G45:N45"/>
    <mergeCell ref="O45:AG45"/>
    <mergeCell ref="BC35:BN35"/>
    <mergeCell ref="A37:E38"/>
    <mergeCell ref="F37:K38"/>
    <mergeCell ref="A40:F45"/>
    <mergeCell ref="G40:N40"/>
    <mergeCell ref="O40:AG40"/>
    <mergeCell ref="G41:N41"/>
    <mergeCell ref="O41:AG41"/>
    <mergeCell ref="G42:N42"/>
    <mergeCell ref="O42:AG42"/>
    <mergeCell ref="I51:AG52"/>
    <mergeCell ref="G51:H52"/>
    <mergeCell ref="BC33:BD33"/>
    <mergeCell ref="BG65:BN65"/>
    <mergeCell ref="A49:F50"/>
    <mergeCell ref="A51:F52"/>
    <mergeCell ref="A53:F56"/>
    <mergeCell ref="G53:AG56"/>
    <mergeCell ref="W47:X47"/>
    <mergeCell ref="G48:H48"/>
    <mergeCell ref="I48:N48"/>
    <mergeCell ref="O48:P48"/>
    <mergeCell ref="Q48:V48"/>
    <mergeCell ref="W48:X48"/>
    <mergeCell ref="A46:F48"/>
    <mergeCell ref="I46:N46"/>
    <mergeCell ref="Q46:V46"/>
    <mergeCell ref="G47:H47"/>
    <mergeCell ref="I47:N47"/>
    <mergeCell ref="O47:P47"/>
    <mergeCell ref="Q47:V47"/>
    <mergeCell ref="I49:AG50"/>
    <mergeCell ref="G49:H50"/>
    <mergeCell ref="G46:H46"/>
  </mergeCells>
  <phoneticPr fontId="3"/>
  <dataValidations count="4">
    <dataValidation allowBlank="1" showInputMessage="1" showErrorMessage="1" prompt="日付は「旅行期間開始日」以前の日付を入力してください。" sqref="BE6:BN7"/>
    <dataValidation type="list" allowBlank="1" showInputMessage="1" showErrorMessage="1" sqref="O40:AG40">
      <formula1>"(選択してください),基盤研究費,大学運営経費,科研費（代表者）,科研費（学内分担）,科研費（学外分担）,寄附金,補助金,受託事業,共同研究,受託研究,助成金,科研間接経費,自己負担（精算なし）,先方負担,その他"</formula1>
    </dataValidation>
    <dataValidation type="list" allowBlank="1" showInputMessage="1" showErrorMessage="1" sqref="G15:O16 G17:O18">
      <formula1>"自宅,杉本キャンパス,阿倍野キャンパス,中百舌鳥キャンパス,羽曳野キャンパス,りんくうキャンパス,工業高等専門学校,職務外用務地（兼業）,職務外用務地（私用）"</formula1>
    </dataValidation>
    <dataValidation type="list" allowBlank="1" showInputMessage="1" showErrorMessage="1" sqref="N9:AG9">
      <formula1>"(選択してください),校長,教授,准教授,講師,助教"</formula1>
    </dataValidation>
  </dataValidations>
  <printOptions horizontalCentered="1"/>
  <pageMargins left="0.19685039370078741" right="0.19685039370078741" top="0.39370078740157483" bottom="0.39370078740157483" header="0.11811023622047245" footer="0.11811023622047245"/>
  <pageSetup paperSize="9" scale="95" orientation="landscape" r:id="rId1"/>
  <headerFooter>
    <oddFooter>&amp;L&amp;P</oddFooter>
  </headerFooter>
  <rowBreaks count="1" manualBreakCount="1">
    <brk id="35" max="16383" man="1"/>
  </row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W70"/>
  <sheetViews>
    <sheetView view="pageBreakPreview" zoomScaleNormal="100" zoomScaleSheetLayoutView="100" workbookViewId="0">
      <selection activeCell="AX22" sqref="AX22:BN23"/>
    </sheetView>
  </sheetViews>
  <sheetFormatPr defaultColWidth="1.8984375" defaultRowHeight="13.2"/>
  <cols>
    <col min="1" max="1" width="2" style="24" customWidth="1"/>
    <col min="2" max="2" width="2.3984375" style="24" customWidth="1"/>
    <col min="3" max="66" width="2" style="24" customWidth="1"/>
    <col min="67" max="16384" width="1.8984375" style="24"/>
  </cols>
  <sheetData>
    <row r="1" spans="1:66" ht="12.75" customHeight="1">
      <c r="A1" s="123" t="s">
        <v>68</v>
      </c>
      <c r="B1" s="123"/>
      <c r="C1" s="123"/>
      <c r="D1" s="123"/>
      <c r="E1" s="123"/>
      <c r="F1" s="123" t="s">
        <v>45</v>
      </c>
      <c r="G1" s="123"/>
      <c r="H1" s="123"/>
      <c r="I1" s="123"/>
      <c r="J1" s="123"/>
      <c r="K1" s="123"/>
      <c r="M1" s="62"/>
      <c r="N1" s="62"/>
      <c r="O1" s="62"/>
      <c r="R1" s="259" t="s">
        <v>89</v>
      </c>
      <c r="S1" s="259"/>
      <c r="T1" s="259"/>
      <c r="U1" s="259"/>
      <c r="V1" s="259"/>
      <c r="W1" s="259"/>
      <c r="X1" s="259"/>
      <c r="Y1" s="259"/>
      <c r="Z1" s="259"/>
      <c r="AA1" s="259"/>
      <c r="AB1" s="259"/>
      <c r="AC1" s="259"/>
      <c r="AD1" s="259"/>
      <c r="AE1" s="259"/>
      <c r="AF1" s="259"/>
      <c r="AG1" s="259"/>
      <c r="AH1" s="259"/>
      <c r="AI1" s="259"/>
      <c r="AJ1" s="259"/>
      <c r="AK1" s="259"/>
      <c r="AL1" s="259"/>
      <c r="AM1" s="259"/>
      <c r="AN1" s="259"/>
      <c r="AO1" s="259"/>
      <c r="AP1" s="259"/>
      <c r="AQ1" s="260"/>
      <c r="AR1" s="261" t="s">
        <v>9</v>
      </c>
      <c r="AS1" s="262"/>
      <c r="AT1" s="262"/>
      <c r="AU1" s="262"/>
      <c r="AV1" s="263"/>
      <c r="AX1" s="264" t="s">
        <v>38</v>
      </c>
      <c r="AY1" s="138" t="s">
        <v>6</v>
      </c>
      <c r="AZ1" s="139"/>
      <c r="BA1" s="139"/>
      <c r="BB1" s="140"/>
      <c r="BC1" s="267" t="s">
        <v>10</v>
      </c>
      <c r="BD1" s="267"/>
      <c r="BE1" s="267"/>
      <c r="BF1" s="267"/>
      <c r="BG1" s="267" t="s">
        <v>5</v>
      </c>
      <c r="BH1" s="267"/>
      <c r="BI1" s="267"/>
      <c r="BJ1" s="267"/>
      <c r="BK1" s="267" t="s">
        <v>4</v>
      </c>
      <c r="BL1" s="267"/>
      <c r="BM1" s="267"/>
      <c r="BN1" s="267"/>
    </row>
    <row r="2" spans="1:66" ht="12.75" customHeight="1">
      <c r="A2" s="123"/>
      <c r="B2" s="123"/>
      <c r="C2" s="123"/>
      <c r="D2" s="123"/>
      <c r="E2" s="123"/>
      <c r="F2" s="123"/>
      <c r="G2" s="123"/>
      <c r="H2" s="123"/>
      <c r="I2" s="123"/>
      <c r="J2" s="123"/>
      <c r="K2" s="123"/>
      <c r="L2" s="62"/>
      <c r="M2" s="62"/>
      <c r="N2" s="62"/>
      <c r="O2" s="62"/>
      <c r="P2" s="62"/>
      <c r="Q2" s="62"/>
      <c r="R2" s="259"/>
      <c r="S2" s="259"/>
      <c r="T2" s="259"/>
      <c r="U2" s="259"/>
      <c r="V2" s="259"/>
      <c r="W2" s="259"/>
      <c r="X2" s="259"/>
      <c r="Y2" s="259"/>
      <c r="Z2" s="259"/>
      <c r="AA2" s="259"/>
      <c r="AB2" s="259"/>
      <c r="AC2" s="259"/>
      <c r="AD2" s="259"/>
      <c r="AE2" s="259"/>
      <c r="AF2" s="259"/>
      <c r="AG2" s="259"/>
      <c r="AH2" s="259"/>
      <c r="AI2" s="259"/>
      <c r="AJ2" s="259"/>
      <c r="AK2" s="259"/>
      <c r="AL2" s="259"/>
      <c r="AM2" s="259"/>
      <c r="AN2" s="259"/>
      <c r="AO2" s="259"/>
      <c r="AP2" s="259"/>
      <c r="AQ2" s="260"/>
      <c r="AR2" s="138"/>
      <c r="AS2" s="139"/>
      <c r="AT2" s="139"/>
      <c r="AU2" s="139"/>
      <c r="AV2" s="140"/>
      <c r="AX2" s="265"/>
      <c r="AY2" s="274"/>
      <c r="AZ2" s="274"/>
      <c r="BA2" s="274"/>
      <c r="BB2" s="274"/>
      <c r="BC2" s="274"/>
      <c r="BD2" s="274"/>
      <c r="BE2" s="274"/>
      <c r="BF2" s="274"/>
      <c r="BG2" s="274"/>
      <c r="BH2" s="274"/>
      <c r="BI2" s="274"/>
      <c r="BJ2" s="274"/>
      <c r="BK2" s="274"/>
      <c r="BL2" s="274"/>
      <c r="BM2" s="274"/>
      <c r="BN2" s="274"/>
    </row>
    <row r="3" spans="1:66" ht="13.2" customHeight="1">
      <c r="G3" s="61"/>
      <c r="H3" s="61"/>
      <c r="I3" s="61"/>
      <c r="J3" s="61"/>
      <c r="K3" s="61"/>
      <c r="L3" s="62"/>
      <c r="M3" s="62"/>
      <c r="N3" s="62"/>
      <c r="O3" s="62"/>
      <c r="P3" s="62"/>
      <c r="Q3" s="62"/>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60"/>
      <c r="AR3" s="268"/>
      <c r="AS3" s="269"/>
      <c r="AT3" s="269"/>
      <c r="AU3" s="269"/>
      <c r="AV3" s="270"/>
      <c r="AX3" s="265"/>
      <c r="AY3" s="274"/>
      <c r="AZ3" s="274"/>
      <c r="BA3" s="274"/>
      <c r="BB3" s="274"/>
      <c r="BC3" s="274"/>
      <c r="BD3" s="274"/>
      <c r="BE3" s="274"/>
      <c r="BF3" s="274"/>
      <c r="BG3" s="274"/>
      <c r="BH3" s="274"/>
      <c r="BI3" s="274"/>
      <c r="BJ3" s="274"/>
      <c r="BK3" s="274"/>
      <c r="BL3" s="274"/>
      <c r="BM3" s="274"/>
      <c r="BN3" s="274"/>
    </row>
    <row r="4" spans="1:66" ht="13.2" customHeight="1">
      <c r="G4" s="59"/>
      <c r="I4" s="61"/>
      <c r="J4" s="61"/>
      <c r="K4" s="61"/>
      <c r="L4" s="61"/>
      <c r="M4" s="61"/>
      <c r="N4" s="61"/>
      <c r="O4" s="61"/>
      <c r="AQ4" s="41"/>
      <c r="AR4" s="271"/>
      <c r="AS4" s="272"/>
      <c r="AT4" s="272"/>
      <c r="AU4" s="272"/>
      <c r="AV4" s="273"/>
      <c r="AX4" s="266"/>
      <c r="AY4" s="274"/>
      <c r="AZ4" s="274"/>
      <c r="BA4" s="274"/>
      <c r="BB4" s="274"/>
      <c r="BC4" s="274"/>
      <c r="BD4" s="274"/>
      <c r="BE4" s="274"/>
      <c r="BF4" s="274"/>
      <c r="BG4" s="274"/>
      <c r="BH4" s="274"/>
      <c r="BI4" s="274"/>
      <c r="BJ4" s="274"/>
      <c r="BK4" s="274"/>
      <c r="BL4" s="274"/>
      <c r="BM4" s="274"/>
      <c r="BN4" s="274"/>
    </row>
    <row r="5" spans="1:66" ht="14.1" customHeight="1">
      <c r="G5" s="59"/>
      <c r="I5" s="59"/>
      <c r="J5" s="59"/>
      <c r="K5" s="59"/>
      <c r="L5" s="59"/>
      <c r="M5" s="59"/>
      <c r="N5" s="59"/>
      <c r="O5" s="59"/>
      <c r="P5" s="59"/>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41"/>
      <c r="AR5" s="60"/>
      <c r="AS5" s="60"/>
      <c r="AU5" s="59"/>
      <c r="AV5" s="59"/>
    </row>
    <row r="6" spans="1:66" ht="14.1" customHeight="1">
      <c r="A6" s="59" t="s">
        <v>37</v>
      </c>
      <c r="F6" s="59"/>
      <c r="G6" s="59"/>
      <c r="I6" s="59"/>
      <c r="J6" s="59"/>
      <c r="K6" s="59"/>
      <c r="L6" s="59"/>
      <c r="M6" s="59"/>
      <c r="N6" s="59"/>
      <c r="O6" s="59"/>
      <c r="P6" s="59"/>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U6" s="59"/>
      <c r="AV6" s="59"/>
      <c r="AY6" s="41"/>
      <c r="AZ6" s="41"/>
      <c r="BA6" s="41"/>
      <c r="BB6" s="41"/>
      <c r="BE6" s="275" t="str">
        <f>INDEX(B22:B31,COUNTA(B22:B31))</f>
        <v/>
      </c>
      <c r="BF6" s="275"/>
      <c r="BG6" s="275"/>
      <c r="BH6" s="275"/>
      <c r="BI6" s="275"/>
      <c r="BJ6" s="275"/>
      <c r="BK6" s="275"/>
      <c r="BL6" s="275"/>
      <c r="BM6" s="275"/>
      <c r="BN6" s="275"/>
    </row>
    <row r="7" spans="1:66" ht="14.1" customHeight="1">
      <c r="F7" s="59"/>
      <c r="G7" s="59"/>
      <c r="I7" s="59"/>
      <c r="J7" s="59"/>
      <c r="K7" s="59"/>
      <c r="L7" s="59"/>
      <c r="M7" s="59"/>
      <c r="N7" s="59"/>
      <c r="O7" s="59"/>
      <c r="P7" s="59"/>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U7" s="59"/>
      <c r="AV7" s="59"/>
      <c r="AY7" s="58"/>
      <c r="AZ7" s="58"/>
      <c r="BA7" s="58"/>
      <c r="BB7" s="58"/>
      <c r="BE7" s="276"/>
      <c r="BF7" s="276"/>
      <c r="BG7" s="276"/>
      <c r="BH7" s="276"/>
      <c r="BI7" s="276"/>
      <c r="BJ7" s="276"/>
      <c r="BK7" s="276"/>
      <c r="BL7" s="276"/>
      <c r="BM7" s="276"/>
      <c r="BN7" s="276"/>
    </row>
    <row r="8" spans="1:66" ht="18.75" customHeight="1">
      <c r="A8" s="172" t="s">
        <v>27</v>
      </c>
      <c r="B8" s="133"/>
      <c r="C8" s="133"/>
      <c r="D8" s="133"/>
      <c r="E8" s="133"/>
      <c r="F8" s="134"/>
      <c r="G8" s="277" t="str">
        <f>IF('旅行命令上申書（近距離・国内旅行'!G8:AG8="","",'旅行命令上申書（近距離・国内旅行'!G8:AG8)</f>
        <v>大阪公立大学工業高等専門学校</v>
      </c>
      <c r="H8" s="278"/>
      <c r="I8" s="278"/>
      <c r="J8" s="278"/>
      <c r="K8" s="278"/>
      <c r="L8" s="278"/>
      <c r="M8" s="278"/>
      <c r="N8" s="278"/>
      <c r="O8" s="278"/>
      <c r="P8" s="278"/>
      <c r="Q8" s="278"/>
      <c r="R8" s="278"/>
      <c r="S8" s="278"/>
      <c r="T8" s="278"/>
      <c r="U8" s="278"/>
      <c r="V8" s="278"/>
      <c r="W8" s="278"/>
      <c r="X8" s="278"/>
      <c r="Y8" s="278"/>
      <c r="Z8" s="278"/>
      <c r="AA8" s="278"/>
      <c r="AB8" s="278"/>
      <c r="AC8" s="278"/>
      <c r="AD8" s="278"/>
      <c r="AE8" s="278"/>
      <c r="AF8" s="278"/>
      <c r="AG8" s="279"/>
      <c r="AH8" s="172" t="s">
        <v>3</v>
      </c>
      <c r="AI8" s="133"/>
      <c r="AJ8" s="133"/>
      <c r="AK8" s="133"/>
      <c r="AL8" s="133"/>
      <c r="AM8" s="134"/>
      <c r="AN8" s="138" t="str">
        <f>IF('旅行命令上申書（近距離・国内旅行'!AN8:BN9="","",'旅行命令上申書（近距離・国内旅行'!AN8:BN9)</f>
        <v/>
      </c>
      <c r="AO8" s="139"/>
      <c r="AP8" s="139"/>
      <c r="AQ8" s="139"/>
      <c r="AR8" s="139"/>
      <c r="AS8" s="139"/>
      <c r="AT8" s="139"/>
      <c r="AU8" s="139"/>
      <c r="AV8" s="139"/>
      <c r="AW8" s="139"/>
      <c r="AX8" s="139"/>
      <c r="AY8" s="139"/>
      <c r="AZ8" s="139"/>
      <c r="BA8" s="139"/>
      <c r="BB8" s="139"/>
      <c r="BC8" s="139"/>
      <c r="BD8" s="139"/>
      <c r="BE8" s="139"/>
      <c r="BF8" s="139"/>
      <c r="BG8" s="139"/>
      <c r="BH8" s="139"/>
      <c r="BI8" s="139"/>
      <c r="BJ8" s="139"/>
      <c r="BK8" s="139"/>
      <c r="BL8" s="139"/>
      <c r="BM8" s="139"/>
      <c r="BN8" s="140"/>
    </row>
    <row r="9" spans="1:66" ht="18.75" customHeight="1">
      <c r="A9" s="135"/>
      <c r="B9" s="136"/>
      <c r="C9" s="136"/>
      <c r="D9" s="136"/>
      <c r="E9" s="136"/>
      <c r="F9" s="137"/>
      <c r="G9" s="271" t="s">
        <v>26</v>
      </c>
      <c r="H9" s="272"/>
      <c r="I9" s="272"/>
      <c r="J9" s="272"/>
      <c r="K9" s="272"/>
      <c r="L9" s="272"/>
      <c r="M9" s="272"/>
      <c r="N9" s="298" t="str">
        <f>IF('旅行命令上申書（近距離・国内旅行'!N9:AG9="","",'旅行命令上申書（近距離・国内旅行'!N9:AG9)</f>
        <v>(選択してください)</v>
      </c>
      <c r="O9" s="298"/>
      <c r="P9" s="298"/>
      <c r="Q9" s="298"/>
      <c r="R9" s="298"/>
      <c r="S9" s="298"/>
      <c r="T9" s="298"/>
      <c r="U9" s="298"/>
      <c r="V9" s="298"/>
      <c r="W9" s="298"/>
      <c r="X9" s="298"/>
      <c r="Y9" s="298"/>
      <c r="Z9" s="298"/>
      <c r="AA9" s="298"/>
      <c r="AB9" s="298"/>
      <c r="AC9" s="298"/>
      <c r="AD9" s="298"/>
      <c r="AE9" s="298"/>
      <c r="AF9" s="298"/>
      <c r="AG9" s="299"/>
      <c r="AH9" s="135"/>
      <c r="AI9" s="136"/>
      <c r="AJ9" s="136"/>
      <c r="AK9" s="136"/>
      <c r="AL9" s="136"/>
      <c r="AM9" s="137"/>
      <c r="AN9" s="271"/>
      <c r="AO9" s="272"/>
      <c r="AP9" s="272"/>
      <c r="AQ9" s="272"/>
      <c r="AR9" s="272"/>
      <c r="AS9" s="272"/>
      <c r="AT9" s="272"/>
      <c r="AU9" s="272"/>
      <c r="AV9" s="272"/>
      <c r="AW9" s="272"/>
      <c r="AX9" s="272"/>
      <c r="AY9" s="272"/>
      <c r="AZ9" s="272"/>
      <c r="BA9" s="272"/>
      <c r="BB9" s="272"/>
      <c r="BC9" s="272"/>
      <c r="BD9" s="272"/>
      <c r="BE9" s="272"/>
      <c r="BF9" s="272"/>
      <c r="BG9" s="272"/>
      <c r="BH9" s="272"/>
      <c r="BI9" s="272"/>
      <c r="BJ9" s="272"/>
      <c r="BK9" s="272"/>
      <c r="BL9" s="272"/>
      <c r="BM9" s="272"/>
      <c r="BN9" s="273"/>
    </row>
    <row r="10" spans="1:66" ht="17.25" customHeight="1"/>
    <row r="11" spans="1:66" ht="17.25" customHeight="1">
      <c r="B11" s="24" t="s">
        <v>88</v>
      </c>
    </row>
    <row r="12" spans="1:66" ht="6.75" customHeight="1"/>
    <row r="13" spans="1:66" ht="17.25" customHeight="1">
      <c r="A13" s="172" t="s">
        <v>0</v>
      </c>
      <c r="B13" s="133"/>
      <c r="C13" s="133"/>
      <c r="D13" s="133"/>
      <c r="E13" s="133"/>
      <c r="F13" s="134"/>
      <c r="G13" s="318" t="str">
        <f>IF('旅行命令上申書（近距離・国内旅行'!G13:O14="","",'旅行命令上申書（近距離・国内旅行'!G13:O14)</f>
        <v/>
      </c>
      <c r="H13" s="318"/>
      <c r="I13" s="318"/>
      <c r="J13" s="318"/>
      <c r="K13" s="318"/>
      <c r="L13" s="318"/>
      <c r="M13" s="318"/>
      <c r="N13" s="318"/>
      <c r="O13" s="319"/>
      <c r="P13" s="320" t="s">
        <v>2</v>
      </c>
      <c r="Q13" s="321"/>
      <c r="R13" s="322" t="str">
        <f>IF('旅行命令上申書（近距離・国内旅行'!R13:Z14="","",'旅行命令上申書（近距離・国内旅行'!R13:Z14)</f>
        <v/>
      </c>
      <c r="S13" s="318"/>
      <c r="T13" s="318"/>
      <c r="U13" s="318"/>
      <c r="V13" s="318"/>
      <c r="W13" s="318"/>
      <c r="X13" s="318"/>
      <c r="Y13" s="318"/>
      <c r="Z13" s="319"/>
      <c r="AA13" s="320" t="s">
        <v>1</v>
      </c>
      <c r="AB13" s="321"/>
      <c r="AC13" s="323" t="str">
        <f>IF('旅行命令上申書（近距離・国内旅行'!AC13:AE14="","",'旅行命令上申書（近距離・国内旅行'!AC13:AE14)</f>
        <v/>
      </c>
      <c r="AD13" s="324"/>
      <c r="AE13" s="325"/>
      <c r="AF13" s="320" t="s">
        <v>8</v>
      </c>
      <c r="AG13" s="267"/>
      <c r="AH13" s="132" t="s">
        <v>87</v>
      </c>
      <c r="AI13" s="133"/>
      <c r="AJ13" s="133"/>
      <c r="AK13" s="133"/>
      <c r="AL13" s="133"/>
      <c r="AM13" s="134"/>
      <c r="AN13" s="280"/>
      <c r="AO13" s="281"/>
      <c r="AP13" s="300" t="s">
        <v>86</v>
      </c>
      <c r="AQ13" s="300"/>
      <c r="AR13" s="300"/>
      <c r="AS13" s="300"/>
      <c r="AT13" s="300"/>
      <c r="AU13" s="300"/>
      <c r="AV13" s="281"/>
      <c r="AW13" s="281"/>
      <c r="AX13" s="300" t="s">
        <v>85</v>
      </c>
      <c r="AY13" s="300"/>
      <c r="AZ13" s="300"/>
      <c r="BA13" s="300"/>
      <c r="BB13" s="300"/>
      <c r="BC13" s="300"/>
      <c r="BD13" s="57"/>
      <c r="BE13" s="57"/>
      <c r="BF13" s="57"/>
      <c r="BG13" s="57"/>
      <c r="BH13" s="57"/>
      <c r="BI13" s="57"/>
      <c r="BJ13" s="57"/>
      <c r="BK13" s="57"/>
      <c r="BL13" s="57"/>
      <c r="BM13" s="57"/>
      <c r="BN13" s="56"/>
    </row>
    <row r="14" spans="1:66" ht="17.25" customHeight="1">
      <c r="A14" s="135"/>
      <c r="B14" s="136"/>
      <c r="C14" s="136"/>
      <c r="D14" s="136"/>
      <c r="E14" s="136"/>
      <c r="F14" s="137"/>
      <c r="G14" s="318"/>
      <c r="H14" s="318"/>
      <c r="I14" s="318"/>
      <c r="J14" s="318"/>
      <c r="K14" s="318"/>
      <c r="L14" s="318"/>
      <c r="M14" s="318"/>
      <c r="N14" s="318"/>
      <c r="O14" s="319"/>
      <c r="P14" s="320"/>
      <c r="Q14" s="321"/>
      <c r="R14" s="322"/>
      <c r="S14" s="318"/>
      <c r="T14" s="318"/>
      <c r="U14" s="318"/>
      <c r="V14" s="318"/>
      <c r="W14" s="318"/>
      <c r="X14" s="318"/>
      <c r="Y14" s="318"/>
      <c r="Z14" s="319"/>
      <c r="AA14" s="320"/>
      <c r="AB14" s="321"/>
      <c r="AC14" s="323"/>
      <c r="AD14" s="324"/>
      <c r="AE14" s="325"/>
      <c r="AF14" s="320"/>
      <c r="AG14" s="267"/>
      <c r="AH14" s="295"/>
      <c r="AI14" s="296"/>
      <c r="AJ14" s="296"/>
      <c r="AK14" s="296"/>
      <c r="AL14" s="296"/>
      <c r="AM14" s="297"/>
      <c r="AN14" s="301"/>
      <c r="AO14" s="302"/>
      <c r="AP14" s="302"/>
      <c r="AQ14" s="302"/>
      <c r="AR14" s="302"/>
      <c r="AS14" s="302"/>
      <c r="AT14" s="302"/>
      <c r="AU14" s="302"/>
      <c r="AV14" s="302"/>
      <c r="AW14" s="302"/>
      <c r="AX14" s="302"/>
      <c r="AY14" s="302"/>
      <c r="AZ14" s="302"/>
      <c r="BA14" s="302"/>
      <c r="BB14" s="302"/>
      <c r="BC14" s="302"/>
      <c r="BD14" s="302"/>
      <c r="BE14" s="302"/>
      <c r="BF14" s="302"/>
      <c r="BG14" s="302"/>
      <c r="BH14" s="302"/>
      <c r="BI14" s="302"/>
      <c r="BJ14" s="302"/>
      <c r="BK14" s="302"/>
      <c r="BL14" s="302"/>
      <c r="BM14" s="302"/>
      <c r="BN14" s="303"/>
    </row>
    <row r="15" spans="1:66" ht="17.25" customHeight="1">
      <c r="A15" s="172" t="s">
        <v>52</v>
      </c>
      <c r="B15" s="133"/>
      <c r="C15" s="133"/>
      <c r="D15" s="133"/>
      <c r="E15" s="133"/>
      <c r="F15" s="134"/>
      <c r="G15" s="282" t="str">
        <f>IF('旅行命令上申書（近距離・国内旅行'!G15:O16="","",'旅行命令上申書（近距離・国内旅行'!G15:O16)</f>
        <v/>
      </c>
      <c r="H15" s="283"/>
      <c r="I15" s="283"/>
      <c r="J15" s="283"/>
      <c r="K15" s="283"/>
      <c r="L15" s="283"/>
      <c r="M15" s="283"/>
      <c r="N15" s="283"/>
      <c r="O15" s="284"/>
      <c r="P15" s="185" t="s">
        <v>60</v>
      </c>
      <c r="Q15" s="133"/>
      <c r="R15" s="133"/>
      <c r="S15" s="133"/>
      <c r="T15" s="133"/>
      <c r="U15" s="288"/>
      <c r="V15" s="290" t="str">
        <f>IF('旅行命令上申書（近距離・国内旅行'!V15:AE15="","",'旅行命令上申書（近距離・国内旅行'!V15:AE15)</f>
        <v/>
      </c>
      <c r="W15" s="171"/>
      <c r="X15" s="171"/>
      <c r="Y15" s="171"/>
      <c r="Z15" s="171"/>
      <c r="AA15" s="171"/>
      <c r="AB15" s="171"/>
      <c r="AC15" s="171"/>
      <c r="AD15" s="171"/>
      <c r="AE15" s="291"/>
      <c r="AF15" s="281" t="s">
        <v>40</v>
      </c>
      <c r="AG15" s="292"/>
      <c r="AH15" s="295"/>
      <c r="AI15" s="296"/>
      <c r="AJ15" s="296"/>
      <c r="AK15" s="296"/>
      <c r="AL15" s="296"/>
      <c r="AM15" s="297"/>
      <c r="AN15" s="304"/>
      <c r="AO15" s="305"/>
      <c r="AP15" s="305"/>
      <c r="AQ15" s="305"/>
      <c r="AR15" s="305"/>
      <c r="AS15" s="305"/>
      <c r="AT15" s="305"/>
      <c r="AU15" s="305"/>
      <c r="AV15" s="305"/>
      <c r="AW15" s="305"/>
      <c r="AX15" s="305"/>
      <c r="AY15" s="305"/>
      <c r="AZ15" s="305"/>
      <c r="BA15" s="305"/>
      <c r="BB15" s="305"/>
      <c r="BC15" s="305"/>
      <c r="BD15" s="305"/>
      <c r="BE15" s="305"/>
      <c r="BF15" s="305"/>
      <c r="BG15" s="305"/>
      <c r="BH15" s="305"/>
      <c r="BI15" s="305"/>
      <c r="BJ15" s="305"/>
      <c r="BK15" s="305"/>
      <c r="BL15" s="305"/>
      <c r="BM15" s="305"/>
      <c r="BN15" s="306"/>
    </row>
    <row r="16" spans="1:66" ht="17.25" customHeight="1">
      <c r="A16" s="135"/>
      <c r="B16" s="136"/>
      <c r="C16" s="136"/>
      <c r="D16" s="136"/>
      <c r="E16" s="136"/>
      <c r="F16" s="137"/>
      <c r="G16" s="285"/>
      <c r="H16" s="286"/>
      <c r="I16" s="286"/>
      <c r="J16" s="286"/>
      <c r="K16" s="286"/>
      <c r="L16" s="286"/>
      <c r="M16" s="286"/>
      <c r="N16" s="286"/>
      <c r="O16" s="287"/>
      <c r="P16" s="136"/>
      <c r="Q16" s="136"/>
      <c r="R16" s="136"/>
      <c r="S16" s="136"/>
      <c r="T16" s="136"/>
      <c r="U16" s="289"/>
      <c r="V16" s="293" t="str">
        <f>IF('旅行命令上申書（近距離・国内旅行'!V16:AE16="","",'旅行命令上申書（近距離・国内旅行'!V16:AE16)</f>
        <v/>
      </c>
      <c r="W16" s="148"/>
      <c r="X16" s="148"/>
      <c r="Y16" s="148"/>
      <c r="Z16" s="148"/>
      <c r="AA16" s="148"/>
      <c r="AB16" s="148"/>
      <c r="AC16" s="148"/>
      <c r="AD16" s="148"/>
      <c r="AE16" s="294"/>
      <c r="AF16" s="272" t="s">
        <v>47</v>
      </c>
      <c r="AG16" s="273"/>
      <c r="AH16" s="295"/>
      <c r="AI16" s="296"/>
      <c r="AJ16" s="296"/>
      <c r="AK16" s="296"/>
      <c r="AL16" s="296"/>
      <c r="AM16" s="297"/>
      <c r="AN16" s="304"/>
      <c r="AO16" s="305"/>
      <c r="AP16" s="305"/>
      <c r="AQ16" s="305"/>
      <c r="AR16" s="305"/>
      <c r="AS16" s="305"/>
      <c r="AT16" s="305"/>
      <c r="AU16" s="305"/>
      <c r="AV16" s="305"/>
      <c r="AW16" s="305"/>
      <c r="AX16" s="305"/>
      <c r="AY16" s="305"/>
      <c r="AZ16" s="305"/>
      <c r="BA16" s="305"/>
      <c r="BB16" s="305"/>
      <c r="BC16" s="305"/>
      <c r="BD16" s="305"/>
      <c r="BE16" s="305"/>
      <c r="BF16" s="305"/>
      <c r="BG16" s="305"/>
      <c r="BH16" s="305"/>
      <c r="BI16" s="305"/>
      <c r="BJ16" s="305"/>
      <c r="BK16" s="305"/>
      <c r="BL16" s="305"/>
      <c r="BM16" s="305"/>
      <c r="BN16" s="306"/>
    </row>
    <row r="17" spans="1:71" ht="17.25" customHeight="1">
      <c r="A17" s="172" t="s">
        <v>51</v>
      </c>
      <c r="B17" s="133"/>
      <c r="C17" s="133"/>
      <c r="D17" s="133"/>
      <c r="E17" s="133"/>
      <c r="F17" s="134"/>
      <c r="G17" s="307" t="str">
        <f>IF('旅行命令上申書（近距離・国内旅行'!G17:O18="","",'旅行命令上申書（近距離・国内旅行'!G17:O18)</f>
        <v/>
      </c>
      <c r="H17" s="308"/>
      <c r="I17" s="308"/>
      <c r="J17" s="308"/>
      <c r="K17" s="308"/>
      <c r="L17" s="308"/>
      <c r="M17" s="308"/>
      <c r="N17" s="308"/>
      <c r="O17" s="309"/>
      <c r="P17" s="185" t="s">
        <v>60</v>
      </c>
      <c r="Q17" s="133"/>
      <c r="R17" s="133"/>
      <c r="S17" s="133"/>
      <c r="T17" s="133"/>
      <c r="U17" s="288"/>
      <c r="V17" s="290" t="str">
        <f>IF('旅行命令上申書（近距離・国内旅行'!V17:AE17="","",'旅行命令上申書（近距離・国内旅行'!V17:AE17)</f>
        <v/>
      </c>
      <c r="W17" s="171"/>
      <c r="X17" s="171"/>
      <c r="Y17" s="171"/>
      <c r="Z17" s="171"/>
      <c r="AA17" s="171"/>
      <c r="AB17" s="171"/>
      <c r="AC17" s="171"/>
      <c r="AD17" s="171"/>
      <c r="AE17" s="291"/>
      <c r="AF17" s="281" t="s">
        <v>40</v>
      </c>
      <c r="AG17" s="292"/>
      <c r="AH17" s="295"/>
      <c r="AI17" s="296"/>
      <c r="AJ17" s="296"/>
      <c r="AK17" s="296"/>
      <c r="AL17" s="296"/>
      <c r="AM17" s="297"/>
      <c r="AN17" s="304"/>
      <c r="AO17" s="305"/>
      <c r="AP17" s="305"/>
      <c r="AQ17" s="305"/>
      <c r="AR17" s="305"/>
      <c r="AS17" s="305"/>
      <c r="AT17" s="305"/>
      <c r="AU17" s="305"/>
      <c r="AV17" s="305"/>
      <c r="AW17" s="305"/>
      <c r="AX17" s="305"/>
      <c r="AY17" s="305"/>
      <c r="AZ17" s="305"/>
      <c r="BA17" s="305"/>
      <c r="BB17" s="305"/>
      <c r="BC17" s="305"/>
      <c r="BD17" s="305"/>
      <c r="BE17" s="305"/>
      <c r="BF17" s="305"/>
      <c r="BG17" s="305"/>
      <c r="BH17" s="305"/>
      <c r="BI17" s="305"/>
      <c r="BJ17" s="305"/>
      <c r="BK17" s="305"/>
      <c r="BL17" s="305"/>
      <c r="BM17" s="305"/>
      <c r="BN17" s="306"/>
    </row>
    <row r="18" spans="1:71" ht="17.25" customHeight="1">
      <c r="A18" s="135"/>
      <c r="B18" s="136"/>
      <c r="C18" s="136"/>
      <c r="D18" s="136"/>
      <c r="E18" s="136"/>
      <c r="F18" s="137"/>
      <c r="G18" s="310"/>
      <c r="H18" s="311"/>
      <c r="I18" s="311"/>
      <c r="J18" s="311"/>
      <c r="K18" s="311"/>
      <c r="L18" s="311"/>
      <c r="M18" s="311"/>
      <c r="N18" s="311"/>
      <c r="O18" s="312"/>
      <c r="P18" s="136"/>
      <c r="Q18" s="136"/>
      <c r="R18" s="136"/>
      <c r="S18" s="136"/>
      <c r="T18" s="136"/>
      <c r="U18" s="289"/>
      <c r="V18" s="313" t="str">
        <f>IF('旅行命令上申書（近距離・国内旅行'!V18:AE18="","",'旅行命令上申書（近距離・国内旅行'!V18:AE18)</f>
        <v/>
      </c>
      <c r="W18" s="314"/>
      <c r="X18" s="314"/>
      <c r="Y18" s="314"/>
      <c r="Z18" s="314"/>
      <c r="AA18" s="314"/>
      <c r="AB18" s="314"/>
      <c r="AC18" s="314"/>
      <c r="AD18" s="314"/>
      <c r="AE18" s="315"/>
      <c r="AF18" s="316" t="s">
        <v>47</v>
      </c>
      <c r="AG18" s="317"/>
      <c r="AH18" s="135"/>
      <c r="AI18" s="136"/>
      <c r="AJ18" s="136"/>
      <c r="AK18" s="136"/>
      <c r="AL18" s="136"/>
      <c r="AM18" s="137"/>
      <c r="AN18" s="144"/>
      <c r="AO18" s="145"/>
      <c r="AP18" s="145"/>
      <c r="AQ18" s="145"/>
      <c r="AR18" s="145"/>
      <c r="AS18" s="145"/>
      <c r="AT18" s="145"/>
      <c r="AU18" s="145"/>
      <c r="AV18" s="145"/>
      <c r="AW18" s="145"/>
      <c r="AX18" s="145"/>
      <c r="AY18" s="145"/>
      <c r="AZ18" s="145"/>
      <c r="BA18" s="145"/>
      <c r="BB18" s="145"/>
      <c r="BC18" s="145"/>
      <c r="BD18" s="145"/>
      <c r="BE18" s="145"/>
      <c r="BF18" s="145"/>
      <c r="BG18" s="145"/>
      <c r="BH18" s="145"/>
      <c r="BI18" s="145"/>
      <c r="BJ18" s="145"/>
      <c r="BK18" s="145"/>
      <c r="BL18" s="145"/>
      <c r="BM18" s="145"/>
      <c r="BN18" s="146"/>
    </row>
    <row r="19" spans="1:71" ht="6.75" customHeight="1">
      <c r="BH19" s="40"/>
    </row>
    <row r="20" spans="1:71" ht="17.25" customHeight="1">
      <c r="A20" s="326"/>
      <c r="B20" s="172" t="s">
        <v>84</v>
      </c>
      <c r="C20" s="133"/>
      <c r="D20" s="133"/>
      <c r="E20" s="133"/>
      <c r="F20" s="134"/>
      <c r="G20" s="172" t="s">
        <v>50</v>
      </c>
      <c r="H20" s="133"/>
      <c r="I20" s="133"/>
      <c r="J20" s="133"/>
      <c r="K20" s="133"/>
      <c r="L20" s="133"/>
      <c r="M20" s="133"/>
      <c r="N20" s="133"/>
      <c r="O20" s="133"/>
      <c r="P20" s="133"/>
      <c r="Q20" s="133"/>
      <c r="R20" s="133"/>
      <c r="S20" s="134"/>
      <c r="T20" s="172" t="s">
        <v>49</v>
      </c>
      <c r="U20" s="133"/>
      <c r="V20" s="133"/>
      <c r="W20" s="133"/>
      <c r="X20" s="133"/>
      <c r="Y20" s="133"/>
      <c r="Z20" s="133"/>
      <c r="AA20" s="133"/>
      <c r="AB20" s="133"/>
      <c r="AC20" s="133"/>
      <c r="AD20" s="133"/>
      <c r="AE20" s="132" t="s">
        <v>66</v>
      </c>
      <c r="AF20" s="133"/>
      <c r="AG20" s="133"/>
      <c r="AH20" s="133"/>
      <c r="AI20" s="133"/>
      <c r="AJ20" s="133"/>
      <c r="AK20" s="134"/>
      <c r="AL20" s="172" t="s">
        <v>57</v>
      </c>
      <c r="AM20" s="133"/>
      <c r="AN20" s="133"/>
      <c r="AO20" s="133"/>
      <c r="AP20" s="133"/>
      <c r="AQ20" s="133"/>
      <c r="AR20" s="133"/>
      <c r="AS20" s="133"/>
      <c r="AT20" s="133"/>
      <c r="AU20" s="133"/>
      <c r="AV20" s="133"/>
      <c r="AW20" s="134"/>
      <c r="AX20" s="326" t="s">
        <v>83</v>
      </c>
      <c r="AY20" s="326"/>
      <c r="AZ20" s="326"/>
      <c r="BA20" s="326"/>
      <c r="BB20" s="326"/>
      <c r="BC20" s="326"/>
      <c r="BD20" s="326"/>
      <c r="BE20" s="326"/>
      <c r="BF20" s="326"/>
      <c r="BG20" s="326"/>
      <c r="BH20" s="326"/>
      <c r="BI20" s="326"/>
      <c r="BJ20" s="326"/>
      <c r="BK20" s="326"/>
      <c r="BL20" s="326"/>
      <c r="BM20" s="326"/>
      <c r="BN20" s="326"/>
    </row>
    <row r="21" spans="1:71" ht="17.25" customHeight="1">
      <c r="A21" s="326"/>
      <c r="B21" s="135"/>
      <c r="C21" s="136"/>
      <c r="D21" s="136"/>
      <c r="E21" s="136"/>
      <c r="F21" s="137"/>
      <c r="G21" s="135"/>
      <c r="H21" s="136"/>
      <c r="I21" s="136"/>
      <c r="J21" s="136"/>
      <c r="K21" s="136"/>
      <c r="L21" s="136"/>
      <c r="M21" s="136"/>
      <c r="N21" s="136"/>
      <c r="O21" s="136"/>
      <c r="P21" s="136"/>
      <c r="Q21" s="136"/>
      <c r="R21" s="136"/>
      <c r="S21" s="137"/>
      <c r="T21" s="135"/>
      <c r="U21" s="136"/>
      <c r="V21" s="136"/>
      <c r="W21" s="136"/>
      <c r="X21" s="136"/>
      <c r="Y21" s="136"/>
      <c r="Z21" s="136"/>
      <c r="AA21" s="136"/>
      <c r="AB21" s="136"/>
      <c r="AC21" s="136"/>
      <c r="AD21" s="136"/>
      <c r="AE21" s="135"/>
      <c r="AF21" s="136"/>
      <c r="AG21" s="136"/>
      <c r="AH21" s="136"/>
      <c r="AI21" s="136"/>
      <c r="AJ21" s="136"/>
      <c r="AK21" s="137"/>
      <c r="AL21" s="135"/>
      <c r="AM21" s="136"/>
      <c r="AN21" s="136"/>
      <c r="AO21" s="136"/>
      <c r="AP21" s="136"/>
      <c r="AQ21" s="136"/>
      <c r="AR21" s="136"/>
      <c r="AS21" s="136"/>
      <c r="AT21" s="136"/>
      <c r="AU21" s="136"/>
      <c r="AV21" s="136"/>
      <c r="AW21" s="137"/>
      <c r="AX21" s="326"/>
      <c r="AY21" s="326"/>
      <c r="AZ21" s="326"/>
      <c r="BA21" s="326"/>
      <c r="BB21" s="326"/>
      <c r="BC21" s="326"/>
      <c r="BD21" s="326"/>
      <c r="BE21" s="326"/>
      <c r="BF21" s="326"/>
      <c r="BG21" s="326"/>
      <c r="BH21" s="326"/>
      <c r="BI21" s="326"/>
      <c r="BJ21" s="326"/>
      <c r="BK21" s="326"/>
      <c r="BL21" s="326"/>
      <c r="BM21" s="326"/>
      <c r="BN21" s="326"/>
    </row>
    <row r="22" spans="1:71" ht="17.25" customHeight="1">
      <c r="A22" s="326">
        <v>1</v>
      </c>
      <c r="B22" s="327" t="str">
        <f>IF('旅行命令上申書（近距離・国内旅行'!B22:F23="","",'旅行命令上申書（近距離・国内旅行'!B22:F23)</f>
        <v/>
      </c>
      <c r="C22" s="328"/>
      <c r="D22" s="328"/>
      <c r="E22" s="328"/>
      <c r="F22" s="329"/>
      <c r="G22" s="256" t="str">
        <f>IF('旅行命令上申書（近距離・国内旅行'!G22:S23="","",'旅行命令上申書（近距離・国内旅行'!G22:S23)</f>
        <v/>
      </c>
      <c r="H22" s="257"/>
      <c r="I22" s="257"/>
      <c r="J22" s="257"/>
      <c r="K22" s="257"/>
      <c r="L22" s="257"/>
      <c r="M22" s="257"/>
      <c r="N22" s="257"/>
      <c r="O22" s="257"/>
      <c r="P22" s="257"/>
      <c r="Q22" s="257"/>
      <c r="R22" s="257"/>
      <c r="S22" s="258"/>
      <c r="T22" s="141" t="str">
        <f>IF('旅行命令上申書（近距離・国内旅行'!T22:AD23="","",'旅行命令上申書（近距離・国内旅行'!T22:AD23)</f>
        <v/>
      </c>
      <c r="U22" s="142"/>
      <c r="V22" s="142"/>
      <c r="W22" s="142"/>
      <c r="X22" s="142"/>
      <c r="Y22" s="142"/>
      <c r="Z22" s="142"/>
      <c r="AA22" s="142"/>
      <c r="AB22" s="142"/>
      <c r="AC22" s="142"/>
      <c r="AD22" s="142"/>
      <c r="AE22" s="170" t="str">
        <f>IF('旅行命令上申書（近距離・国内旅行'!AE22:AJ22="","",'旅行命令上申書（近距離・国内旅行'!AE22:AJ22)</f>
        <v/>
      </c>
      <c r="AF22" s="171"/>
      <c r="AG22" s="171"/>
      <c r="AH22" s="171"/>
      <c r="AI22" s="171"/>
      <c r="AJ22" s="171"/>
      <c r="AK22" s="26" t="s">
        <v>40</v>
      </c>
      <c r="AL22" s="138" t="str">
        <f>IF('旅行命令上申書（近距離・国内旅行'!AL22:AW22="","",'旅行命令上申書（近距離・国内旅行'!AL22:AW22)</f>
        <v/>
      </c>
      <c r="AM22" s="139"/>
      <c r="AN22" s="139"/>
      <c r="AO22" s="139"/>
      <c r="AP22" s="139"/>
      <c r="AQ22" s="139"/>
      <c r="AR22" s="139"/>
      <c r="AS22" s="139"/>
      <c r="AT22" s="139"/>
      <c r="AU22" s="139"/>
      <c r="AV22" s="139"/>
      <c r="AW22" s="140"/>
      <c r="AX22" s="253" t="str">
        <f>'旅行命令上申書（近距離・国内旅行'!AX22&amp;""</f>
        <v/>
      </c>
      <c r="AY22" s="253"/>
      <c r="AZ22" s="253"/>
      <c r="BA22" s="253"/>
      <c r="BB22" s="253"/>
      <c r="BC22" s="253"/>
      <c r="BD22" s="253"/>
      <c r="BE22" s="253"/>
      <c r="BF22" s="253"/>
      <c r="BG22" s="253"/>
      <c r="BH22" s="253"/>
      <c r="BI22" s="253"/>
      <c r="BJ22" s="253"/>
      <c r="BK22" s="253"/>
      <c r="BL22" s="253"/>
      <c r="BM22" s="253"/>
      <c r="BN22" s="253"/>
    </row>
    <row r="23" spans="1:71" ht="17.25" customHeight="1">
      <c r="A23" s="326"/>
      <c r="B23" s="330"/>
      <c r="C23" s="331"/>
      <c r="D23" s="331"/>
      <c r="E23" s="331"/>
      <c r="F23" s="332"/>
      <c r="G23" s="254" t="s">
        <v>82</v>
      </c>
      <c r="H23" s="152"/>
      <c r="I23" s="152"/>
      <c r="J23" s="152"/>
      <c r="K23" s="55" t="s">
        <v>31</v>
      </c>
      <c r="L23" s="150"/>
      <c r="M23" s="150"/>
      <c r="N23" s="150"/>
      <c r="O23" s="150"/>
      <c r="P23" s="150"/>
      <c r="Q23" s="150"/>
      <c r="R23" s="150"/>
      <c r="S23" s="54" t="s">
        <v>30</v>
      </c>
      <c r="T23" s="144"/>
      <c r="U23" s="145"/>
      <c r="V23" s="145"/>
      <c r="W23" s="145"/>
      <c r="X23" s="145"/>
      <c r="Y23" s="145"/>
      <c r="Z23" s="145"/>
      <c r="AA23" s="145"/>
      <c r="AB23" s="145"/>
      <c r="AC23" s="145"/>
      <c r="AD23" s="145"/>
      <c r="AE23" s="147" t="str">
        <f>IF('旅行命令上申書（近距離・国内旅行'!AE23:AJ23="","",'旅行命令上申書（近距離・国内旅行'!AE23:AJ23)</f>
        <v/>
      </c>
      <c r="AF23" s="148"/>
      <c r="AG23" s="148"/>
      <c r="AH23" s="148"/>
      <c r="AI23" s="148"/>
      <c r="AJ23" s="148"/>
      <c r="AK23" s="27" t="s">
        <v>47</v>
      </c>
      <c r="AL23" s="149" t="s">
        <v>81</v>
      </c>
      <c r="AM23" s="150"/>
      <c r="AN23" s="150"/>
      <c r="AO23" s="150"/>
      <c r="AP23" s="150"/>
      <c r="AQ23" s="151" t="str">
        <f>IF('旅行命令上申書（近距離・国内旅行'!AQ23:AS23="","",'旅行命令上申書（近距離・国内旅行'!AQ23:AS23)</f>
        <v>:</v>
      </c>
      <c r="AR23" s="151"/>
      <c r="AS23" s="151"/>
      <c r="AT23" s="23" t="s">
        <v>39</v>
      </c>
      <c r="AU23" s="255" t="str">
        <f>IF('旅行命令上申書（近距離・国内旅行'!AU23:AW23="","",'旅行命令上申書（近距離・国内旅行'!AU23:AW23)</f>
        <v>:</v>
      </c>
      <c r="AV23" s="255"/>
      <c r="AW23" s="255"/>
      <c r="AX23" s="253"/>
      <c r="AY23" s="253"/>
      <c r="AZ23" s="253"/>
      <c r="BA23" s="253"/>
      <c r="BB23" s="253"/>
      <c r="BC23" s="253"/>
      <c r="BD23" s="253"/>
      <c r="BE23" s="253"/>
      <c r="BF23" s="253"/>
      <c r="BG23" s="253"/>
      <c r="BH23" s="253"/>
      <c r="BI23" s="253"/>
      <c r="BJ23" s="253"/>
      <c r="BK23" s="253"/>
      <c r="BL23" s="253"/>
      <c r="BM23" s="253"/>
      <c r="BN23" s="253"/>
    </row>
    <row r="24" spans="1:71" ht="17.25" customHeight="1">
      <c r="A24" s="326">
        <v>2</v>
      </c>
      <c r="B24" s="333" t="str">
        <f>IF('旅行命令上申書（近距離・国内旅行'!B24:F25="","",'旅行命令上申書（近距離・国内旅行'!B24:F25)</f>
        <v/>
      </c>
      <c r="C24" s="334"/>
      <c r="D24" s="334"/>
      <c r="E24" s="334"/>
      <c r="F24" s="335"/>
      <c r="G24" s="256" t="str">
        <f>IF('旅行命令上申書（近距離・国内旅行'!G24:S25="","",'旅行命令上申書（近距離・国内旅行'!G24:S25)</f>
        <v/>
      </c>
      <c r="H24" s="257"/>
      <c r="I24" s="257"/>
      <c r="J24" s="257"/>
      <c r="K24" s="257"/>
      <c r="L24" s="257"/>
      <c r="M24" s="257"/>
      <c r="N24" s="257"/>
      <c r="O24" s="257"/>
      <c r="P24" s="257"/>
      <c r="Q24" s="257"/>
      <c r="R24" s="257"/>
      <c r="S24" s="258"/>
      <c r="T24" s="141" t="str">
        <f>IF('旅行命令上申書（近距離・国内旅行'!T24:AD25="","",'旅行命令上申書（近距離・国内旅行'!T24:AD25)</f>
        <v/>
      </c>
      <c r="U24" s="142"/>
      <c r="V24" s="142"/>
      <c r="W24" s="142"/>
      <c r="X24" s="142"/>
      <c r="Y24" s="142"/>
      <c r="Z24" s="142"/>
      <c r="AA24" s="142"/>
      <c r="AB24" s="142"/>
      <c r="AC24" s="142"/>
      <c r="AD24" s="142"/>
      <c r="AE24" s="170" t="str">
        <f>IF('旅行命令上申書（近距離・国内旅行'!AE24:AJ24="","",'旅行命令上申書（近距離・国内旅行'!AE24:AJ24)</f>
        <v/>
      </c>
      <c r="AF24" s="171"/>
      <c r="AG24" s="171"/>
      <c r="AH24" s="171"/>
      <c r="AI24" s="171"/>
      <c r="AJ24" s="171"/>
      <c r="AK24" s="26" t="s">
        <v>40</v>
      </c>
      <c r="AL24" s="138" t="str">
        <f>IF('旅行命令上申書（近距離・国内旅行'!AL24:AW24="","",'旅行命令上申書（近距離・国内旅行'!AL24:AW24)</f>
        <v/>
      </c>
      <c r="AM24" s="139"/>
      <c r="AN24" s="139"/>
      <c r="AO24" s="139"/>
      <c r="AP24" s="139"/>
      <c r="AQ24" s="139"/>
      <c r="AR24" s="139"/>
      <c r="AS24" s="139"/>
      <c r="AT24" s="139"/>
      <c r="AU24" s="139"/>
      <c r="AV24" s="139"/>
      <c r="AW24" s="140"/>
      <c r="AX24" s="253" t="str">
        <f>'旅行命令上申書（近距離・国内旅行'!AX24&amp;""</f>
        <v/>
      </c>
      <c r="AY24" s="253"/>
      <c r="AZ24" s="253"/>
      <c r="BA24" s="253"/>
      <c r="BB24" s="253"/>
      <c r="BC24" s="253"/>
      <c r="BD24" s="253"/>
      <c r="BE24" s="253"/>
      <c r="BF24" s="253"/>
      <c r="BG24" s="253"/>
      <c r="BH24" s="253"/>
      <c r="BI24" s="253"/>
      <c r="BJ24" s="253"/>
      <c r="BK24" s="253"/>
      <c r="BL24" s="253"/>
      <c r="BM24" s="253"/>
      <c r="BN24" s="253"/>
    </row>
    <row r="25" spans="1:71" ht="17.25" customHeight="1">
      <c r="A25" s="326"/>
      <c r="B25" s="336"/>
      <c r="C25" s="337"/>
      <c r="D25" s="337"/>
      <c r="E25" s="337"/>
      <c r="F25" s="338"/>
      <c r="G25" s="254" t="s">
        <v>82</v>
      </c>
      <c r="H25" s="152"/>
      <c r="I25" s="152"/>
      <c r="J25" s="152"/>
      <c r="K25" s="55" t="s">
        <v>31</v>
      </c>
      <c r="L25" s="150"/>
      <c r="M25" s="150"/>
      <c r="N25" s="150"/>
      <c r="O25" s="150"/>
      <c r="P25" s="150"/>
      <c r="Q25" s="150"/>
      <c r="R25" s="150"/>
      <c r="S25" s="54" t="s">
        <v>30</v>
      </c>
      <c r="T25" s="144"/>
      <c r="U25" s="145"/>
      <c r="V25" s="145"/>
      <c r="W25" s="145"/>
      <c r="X25" s="145"/>
      <c r="Y25" s="145"/>
      <c r="Z25" s="145"/>
      <c r="AA25" s="145"/>
      <c r="AB25" s="145"/>
      <c r="AC25" s="145"/>
      <c r="AD25" s="145"/>
      <c r="AE25" s="147" t="str">
        <f>IF('旅行命令上申書（近距離・国内旅行'!AE25:AJ25="","",'旅行命令上申書（近距離・国内旅行'!AE25:AJ25)</f>
        <v/>
      </c>
      <c r="AF25" s="148"/>
      <c r="AG25" s="148"/>
      <c r="AH25" s="148"/>
      <c r="AI25" s="148"/>
      <c r="AJ25" s="148"/>
      <c r="AK25" s="27" t="s">
        <v>47</v>
      </c>
      <c r="AL25" s="149" t="s">
        <v>81</v>
      </c>
      <c r="AM25" s="150"/>
      <c r="AN25" s="150"/>
      <c r="AO25" s="150"/>
      <c r="AP25" s="150"/>
      <c r="AQ25" s="151" t="str">
        <f>IF('旅行命令上申書（近距離・国内旅行'!AQ25:AS25="","",'旅行命令上申書（近距離・国内旅行'!AQ25:AS25)</f>
        <v>：</v>
      </c>
      <c r="AR25" s="151"/>
      <c r="AS25" s="151"/>
      <c r="AT25" s="23" t="s">
        <v>39</v>
      </c>
      <c r="AU25" s="255" t="str">
        <f>IF('旅行命令上申書（近距離・国内旅行'!AU25:AW25="","",'旅行命令上申書（近距離・国内旅行'!AU25:AW25)</f>
        <v>：</v>
      </c>
      <c r="AV25" s="255"/>
      <c r="AW25" s="255"/>
      <c r="AX25" s="253"/>
      <c r="AY25" s="253"/>
      <c r="AZ25" s="253"/>
      <c r="BA25" s="253"/>
      <c r="BB25" s="253"/>
      <c r="BC25" s="253"/>
      <c r="BD25" s="253"/>
      <c r="BE25" s="253"/>
      <c r="BF25" s="253"/>
      <c r="BG25" s="253"/>
      <c r="BH25" s="253"/>
      <c r="BI25" s="253"/>
      <c r="BJ25" s="253"/>
      <c r="BK25" s="253"/>
      <c r="BL25" s="253"/>
      <c r="BM25" s="253"/>
      <c r="BN25" s="253"/>
    </row>
    <row r="26" spans="1:71" ht="17.25" customHeight="1">
      <c r="A26" s="326">
        <v>3</v>
      </c>
      <c r="B26" s="333" t="str">
        <f>IF('旅行命令上申書（近距離・国内旅行'!B26:F27="","",'旅行命令上申書（近距離・国内旅行'!B26:F27)</f>
        <v/>
      </c>
      <c r="C26" s="334"/>
      <c r="D26" s="334"/>
      <c r="E26" s="334"/>
      <c r="F26" s="335"/>
      <c r="G26" s="256" t="str">
        <f>IF('旅行命令上申書（近距離・国内旅行'!G26:S27="","",'旅行命令上申書（近距離・国内旅行'!G26:S27)</f>
        <v/>
      </c>
      <c r="H26" s="257"/>
      <c r="I26" s="257"/>
      <c r="J26" s="257"/>
      <c r="K26" s="257"/>
      <c r="L26" s="257"/>
      <c r="M26" s="257"/>
      <c r="N26" s="257"/>
      <c r="O26" s="257"/>
      <c r="P26" s="257"/>
      <c r="Q26" s="257"/>
      <c r="R26" s="257"/>
      <c r="S26" s="258"/>
      <c r="T26" s="141" t="str">
        <f>IF('旅行命令上申書（近距離・国内旅行'!T26:AD27="","",'旅行命令上申書（近距離・国内旅行'!T26:AD27)</f>
        <v/>
      </c>
      <c r="U26" s="142"/>
      <c r="V26" s="142"/>
      <c r="W26" s="142"/>
      <c r="X26" s="142"/>
      <c r="Y26" s="142"/>
      <c r="Z26" s="142"/>
      <c r="AA26" s="142"/>
      <c r="AB26" s="142"/>
      <c r="AC26" s="142"/>
      <c r="AD26" s="142"/>
      <c r="AE26" s="170" t="str">
        <f>IF('旅行命令上申書（近距離・国内旅行'!AE26:AJ26="","",'旅行命令上申書（近距離・国内旅行'!AE26:AJ26)</f>
        <v/>
      </c>
      <c r="AF26" s="171"/>
      <c r="AG26" s="171"/>
      <c r="AH26" s="171"/>
      <c r="AI26" s="171"/>
      <c r="AJ26" s="171"/>
      <c r="AK26" s="26" t="s">
        <v>40</v>
      </c>
      <c r="AL26" s="138" t="str">
        <f>IF('旅行命令上申書（近距離・国内旅行'!AL26:AW26="","",'旅行命令上申書（近距離・国内旅行'!AL26:AW26)</f>
        <v/>
      </c>
      <c r="AM26" s="139"/>
      <c r="AN26" s="139"/>
      <c r="AO26" s="139"/>
      <c r="AP26" s="139"/>
      <c r="AQ26" s="139"/>
      <c r="AR26" s="139"/>
      <c r="AS26" s="139"/>
      <c r="AT26" s="139"/>
      <c r="AU26" s="139"/>
      <c r="AV26" s="139"/>
      <c r="AW26" s="140"/>
      <c r="AX26" s="253" t="str">
        <f>'旅行命令上申書（近距離・国内旅行'!AX26&amp;""</f>
        <v/>
      </c>
      <c r="AY26" s="253"/>
      <c r="AZ26" s="253"/>
      <c r="BA26" s="253"/>
      <c r="BB26" s="253"/>
      <c r="BC26" s="253"/>
      <c r="BD26" s="253"/>
      <c r="BE26" s="253"/>
      <c r="BF26" s="253"/>
      <c r="BG26" s="253"/>
      <c r="BH26" s="253"/>
      <c r="BI26" s="253"/>
      <c r="BJ26" s="253"/>
      <c r="BK26" s="253"/>
      <c r="BL26" s="253"/>
      <c r="BM26" s="253"/>
      <c r="BN26" s="253"/>
    </row>
    <row r="27" spans="1:71" ht="17.25" customHeight="1">
      <c r="A27" s="326"/>
      <c r="B27" s="336"/>
      <c r="C27" s="337"/>
      <c r="D27" s="337"/>
      <c r="E27" s="337"/>
      <c r="F27" s="338"/>
      <c r="G27" s="254" t="s">
        <v>82</v>
      </c>
      <c r="H27" s="152"/>
      <c r="I27" s="152"/>
      <c r="J27" s="152"/>
      <c r="K27" s="55" t="s">
        <v>31</v>
      </c>
      <c r="L27" s="150"/>
      <c r="M27" s="150"/>
      <c r="N27" s="150"/>
      <c r="O27" s="150"/>
      <c r="P27" s="150"/>
      <c r="Q27" s="150"/>
      <c r="R27" s="150"/>
      <c r="S27" s="54" t="s">
        <v>30</v>
      </c>
      <c r="T27" s="144"/>
      <c r="U27" s="145"/>
      <c r="V27" s="145"/>
      <c r="W27" s="145"/>
      <c r="X27" s="145"/>
      <c r="Y27" s="145"/>
      <c r="Z27" s="145"/>
      <c r="AA27" s="145"/>
      <c r="AB27" s="145"/>
      <c r="AC27" s="145"/>
      <c r="AD27" s="145"/>
      <c r="AE27" s="147" t="str">
        <f>IF('旅行命令上申書（近距離・国内旅行'!AE27:AJ27="","",'旅行命令上申書（近距離・国内旅行'!AE27:AJ27)</f>
        <v/>
      </c>
      <c r="AF27" s="148"/>
      <c r="AG27" s="148"/>
      <c r="AH27" s="148"/>
      <c r="AI27" s="148"/>
      <c r="AJ27" s="148"/>
      <c r="AK27" s="27" t="s">
        <v>47</v>
      </c>
      <c r="AL27" s="149" t="s">
        <v>81</v>
      </c>
      <c r="AM27" s="150"/>
      <c r="AN27" s="150"/>
      <c r="AO27" s="150"/>
      <c r="AP27" s="150"/>
      <c r="AQ27" s="151" t="str">
        <f>IF('旅行命令上申書（近距離・国内旅行'!AQ27:AS27="","",'旅行命令上申書（近距離・国内旅行'!AQ27:AS27)</f>
        <v>：</v>
      </c>
      <c r="AR27" s="151"/>
      <c r="AS27" s="151"/>
      <c r="AT27" s="23" t="s">
        <v>39</v>
      </c>
      <c r="AU27" s="255" t="str">
        <f>IF('旅行命令上申書（近距離・国内旅行'!AU27:AW27="","",'旅行命令上申書（近距離・国内旅行'!AU27:AW27)</f>
        <v>：</v>
      </c>
      <c r="AV27" s="255"/>
      <c r="AW27" s="255"/>
      <c r="AX27" s="253"/>
      <c r="AY27" s="253"/>
      <c r="AZ27" s="253"/>
      <c r="BA27" s="253"/>
      <c r="BB27" s="253"/>
      <c r="BC27" s="253"/>
      <c r="BD27" s="253"/>
      <c r="BE27" s="253"/>
      <c r="BF27" s="253"/>
      <c r="BG27" s="253"/>
      <c r="BH27" s="253"/>
      <c r="BI27" s="253"/>
      <c r="BJ27" s="253"/>
      <c r="BK27" s="253"/>
      <c r="BL27" s="253"/>
      <c r="BM27" s="253"/>
      <c r="BN27" s="253"/>
    </row>
    <row r="28" spans="1:71" ht="17.25" customHeight="1">
      <c r="A28" s="326">
        <v>4</v>
      </c>
      <c r="B28" s="333" t="str">
        <f>IF('旅行命令上申書（近距離・国内旅行'!B28:F29="","",'旅行命令上申書（近距離・国内旅行'!B28:F29)</f>
        <v/>
      </c>
      <c r="C28" s="334"/>
      <c r="D28" s="334"/>
      <c r="E28" s="334"/>
      <c r="F28" s="335"/>
      <c r="G28" s="256" t="str">
        <f>IF('旅行命令上申書（近距離・国内旅行'!G28:S29="","",'旅行命令上申書（近距離・国内旅行'!G28:S29)</f>
        <v/>
      </c>
      <c r="H28" s="257"/>
      <c r="I28" s="257"/>
      <c r="J28" s="257"/>
      <c r="K28" s="257"/>
      <c r="L28" s="257"/>
      <c r="M28" s="257"/>
      <c r="N28" s="257"/>
      <c r="O28" s="257"/>
      <c r="P28" s="257"/>
      <c r="Q28" s="257"/>
      <c r="R28" s="257"/>
      <c r="S28" s="258"/>
      <c r="T28" s="141" t="str">
        <f>IF('旅行命令上申書（近距離・国内旅行'!T28:AD29="","",'旅行命令上申書（近距離・国内旅行'!T28:AD29)</f>
        <v/>
      </c>
      <c r="U28" s="142"/>
      <c r="V28" s="142"/>
      <c r="W28" s="142"/>
      <c r="X28" s="142"/>
      <c r="Y28" s="142"/>
      <c r="Z28" s="142"/>
      <c r="AA28" s="142"/>
      <c r="AB28" s="142"/>
      <c r="AC28" s="142"/>
      <c r="AD28" s="142"/>
      <c r="AE28" s="170" t="str">
        <f>IF('旅行命令上申書（近距離・国内旅行'!AE28:AJ28="","",'旅行命令上申書（近距離・国内旅行'!AE28:AJ28)</f>
        <v/>
      </c>
      <c r="AF28" s="171"/>
      <c r="AG28" s="171"/>
      <c r="AH28" s="171"/>
      <c r="AI28" s="171"/>
      <c r="AJ28" s="171"/>
      <c r="AK28" s="26" t="s">
        <v>40</v>
      </c>
      <c r="AL28" s="138" t="str">
        <f>IF('旅行命令上申書（近距離・国内旅行'!AL28:AW28="","",'旅行命令上申書（近距離・国内旅行'!AL28:AW28)</f>
        <v/>
      </c>
      <c r="AM28" s="139"/>
      <c r="AN28" s="139"/>
      <c r="AO28" s="139"/>
      <c r="AP28" s="139"/>
      <c r="AQ28" s="139"/>
      <c r="AR28" s="139"/>
      <c r="AS28" s="139"/>
      <c r="AT28" s="139"/>
      <c r="AU28" s="139"/>
      <c r="AV28" s="139"/>
      <c r="AW28" s="140"/>
      <c r="AX28" s="253" t="str">
        <f>'旅行命令上申書（近距離・国内旅行'!AX28&amp;""</f>
        <v/>
      </c>
      <c r="AY28" s="253"/>
      <c r="AZ28" s="253"/>
      <c r="BA28" s="253"/>
      <c r="BB28" s="253"/>
      <c r="BC28" s="253"/>
      <c r="BD28" s="253"/>
      <c r="BE28" s="253"/>
      <c r="BF28" s="253"/>
      <c r="BG28" s="253"/>
      <c r="BH28" s="253"/>
      <c r="BI28" s="253"/>
      <c r="BJ28" s="253"/>
      <c r="BK28" s="253"/>
      <c r="BL28" s="253"/>
      <c r="BM28" s="253"/>
      <c r="BN28" s="253"/>
    </row>
    <row r="29" spans="1:71" ht="17.25" customHeight="1">
      <c r="A29" s="326"/>
      <c r="B29" s="336"/>
      <c r="C29" s="337"/>
      <c r="D29" s="337"/>
      <c r="E29" s="337"/>
      <c r="F29" s="338"/>
      <c r="G29" s="254" t="s">
        <v>82</v>
      </c>
      <c r="H29" s="152"/>
      <c r="I29" s="152"/>
      <c r="J29" s="152"/>
      <c r="K29" s="55" t="s">
        <v>31</v>
      </c>
      <c r="L29" s="150"/>
      <c r="M29" s="150"/>
      <c r="N29" s="150"/>
      <c r="O29" s="150"/>
      <c r="P29" s="150"/>
      <c r="Q29" s="150"/>
      <c r="R29" s="150"/>
      <c r="S29" s="54" t="s">
        <v>30</v>
      </c>
      <c r="T29" s="144"/>
      <c r="U29" s="145"/>
      <c r="V29" s="145"/>
      <c r="W29" s="145"/>
      <c r="X29" s="145"/>
      <c r="Y29" s="145"/>
      <c r="Z29" s="145"/>
      <c r="AA29" s="145"/>
      <c r="AB29" s="145"/>
      <c r="AC29" s="145"/>
      <c r="AD29" s="145"/>
      <c r="AE29" s="147" t="str">
        <f>IF('旅行命令上申書（近距離・国内旅行'!AE29:AJ29="","",'旅行命令上申書（近距離・国内旅行'!AE29:AJ29)</f>
        <v/>
      </c>
      <c r="AF29" s="148"/>
      <c r="AG29" s="148"/>
      <c r="AH29" s="148"/>
      <c r="AI29" s="148"/>
      <c r="AJ29" s="148"/>
      <c r="AK29" s="27" t="s">
        <v>47</v>
      </c>
      <c r="AL29" s="149" t="s">
        <v>81</v>
      </c>
      <c r="AM29" s="150"/>
      <c r="AN29" s="150"/>
      <c r="AO29" s="150"/>
      <c r="AP29" s="150"/>
      <c r="AQ29" s="151" t="str">
        <f>IF('旅行命令上申書（近距離・国内旅行'!AQ29:AS29="","",'旅行命令上申書（近距離・国内旅行'!AQ29:AS29)</f>
        <v>：</v>
      </c>
      <c r="AR29" s="151"/>
      <c r="AS29" s="151"/>
      <c r="AT29" s="23" t="s">
        <v>39</v>
      </c>
      <c r="AU29" s="255" t="str">
        <f>IF('旅行命令上申書（近距離・国内旅行'!AU29:AW29="","",'旅行命令上申書（近距離・国内旅行'!AU29:AW29)</f>
        <v>：</v>
      </c>
      <c r="AV29" s="255"/>
      <c r="AW29" s="255"/>
      <c r="AX29" s="253"/>
      <c r="AY29" s="253"/>
      <c r="AZ29" s="253"/>
      <c r="BA29" s="253"/>
      <c r="BB29" s="253"/>
      <c r="BC29" s="253"/>
      <c r="BD29" s="253"/>
      <c r="BE29" s="253"/>
      <c r="BF29" s="253"/>
      <c r="BG29" s="253"/>
      <c r="BH29" s="253"/>
      <c r="BI29" s="253"/>
      <c r="BJ29" s="253"/>
      <c r="BK29" s="253"/>
      <c r="BL29" s="253"/>
      <c r="BM29" s="253"/>
      <c r="BN29" s="253"/>
    </row>
    <row r="30" spans="1:71" ht="17.25" customHeight="1">
      <c r="A30" s="326">
        <v>5</v>
      </c>
      <c r="B30" s="333" t="str">
        <f>IF('旅行命令上申書（近距離・国内旅行'!B30:F31="","",'旅行命令上申書（近距離・国内旅行'!B30:F31)</f>
        <v/>
      </c>
      <c r="C30" s="334"/>
      <c r="D30" s="334"/>
      <c r="E30" s="334"/>
      <c r="F30" s="335"/>
      <c r="G30" s="256" t="str">
        <f>IF('旅行命令上申書（近距離・国内旅行'!G30:S31="","",'旅行命令上申書（近距離・国内旅行'!G30:S31)</f>
        <v/>
      </c>
      <c r="H30" s="257"/>
      <c r="I30" s="257"/>
      <c r="J30" s="257"/>
      <c r="K30" s="257"/>
      <c r="L30" s="257"/>
      <c r="M30" s="257"/>
      <c r="N30" s="257"/>
      <c r="O30" s="257"/>
      <c r="P30" s="257"/>
      <c r="Q30" s="257"/>
      <c r="R30" s="257"/>
      <c r="S30" s="258"/>
      <c r="T30" s="141" t="str">
        <f>IF('旅行命令上申書（近距離・国内旅行'!T30:AD31="","",'旅行命令上申書（近距離・国内旅行'!T30:AD31)</f>
        <v/>
      </c>
      <c r="U30" s="142"/>
      <c r="V30" s="142"/>
      <c r="W30" s="142"/>
      <c r="X30" s="142"/>
      <c r="Y30" s="142"/>
      <c r="Z30" s="142"/>
      <c r="AA30" s="142"/>
      <c r="AB30" s="142"/>
      <c r="AC30" s="142"/>
      <c r="AD30" s="142"/>
      <c r="AE30" s="170" t="str">
        <f>IF('旅行命令上申書（近距離・国内旅行'!AE30:AJ30="","",'旅行命令上申書（近距離・国内旅行'!AE30:AJ30)</f>
        <v/>
      </c>
      <c r="AF30" s="171"/>
      <c r="AG30" s="171"/>
      <c r="AH30" s="171"/>
      <c r="AI30" s="171"/>
      <c r="AJ30" s="171"/>
      <c r="AK30" s="26" t="s">
        <v>40</v>
      </c>
      <c r="AL30" s="138" t="str">
        <f>IF('旅行命令上申書（近距離・国内旅行'!AL30:AW30="","",'旅行命令上申書（近距離・国内旅行'!AL30:AW30)</f>
        <v/>
      </c>
      <c r="AM30" s="139"/>
      <c r="AN30" s="139"/>
      <c r="AO30" s="139"/>
      <c r="AP30" s="139"/>
      <c r="AQ30" s="139"/>
      <c r="AR30" s="139"/>
      <c r="AS30" s="139"/>
      <c r="AT30" s="139"/>
      <c r="AU30" s="139"/>
      <c r="AV30" s="139"/>
      <c r="AW30" s="140"/>
      <c r="AX30" s="253" t="str">
        <f>'旅行命令上申書（近距離・国内旅行'!AX30&amp;""</f>
        <v/>
      </c>
      <c r="AY30" s="253"/>
      <c r="AZ30" s="253"/>
      <c r="BA30" s="253"/>
      <c r="BB30" s="253"/>
      <c r="BC30" s="253"/>
      <c r="BD30" s="253"/>
      <c r="BE30" s="253"/>
      <c r="BF30" s="253"/>
      <c r="BG30" s="253"/>
      <c r="BH30" s="253"/>
      <c r="BI30" s="253"/>
      <c r="BJ30" s="253"/>
      <c r="BK30" s="253"/>
      <c r="BL30" s="253"/>
      <c r="BM30" s="253"/>
      <c r="BN30" s="253"/>
    </row>
    <row r="31" spans="1:71" ht="17.25" customHeight="1">
      <c r="A31" s="326"/>
      <c r="B31" s="336"/>
      <c r="C31" s="337"/>
      <c r="D31" s="337"/>
      <c r="E31" s="337"/>
      <c r="F31" s="338"/>
      <c r="G31" s="254" t="s">
        <v>82</v>
      </c>
      <c r="H31" s="152"/>
      <c r="I31" s="152"/>
      <c r="J31" s="152"/>
      <c r="K31" s="55" t="s">
        <v>31</v>
      </c>
      <c r="L31" s="150"/>
      <c r="M31" s="150"/>
      <c r="N31" s="150"/>
      <c r="O31" s="150"/>
      <c r="P31" s="150"/>
      <c r="Q31" s="150"/>
      <c r="R31" s="150"/>
      <c r="S31" s="54" t="s">
        <v>30</v>
      </c>
      <c r="T31" s="144"/>
      <c r="U31" s="145"/>
      <c r="V31" s="145"/>
      <c r="W31" s="145"/>
      <c r="X31" s="145"/>
      <c r="Y31" s="145"/>
      <c r="Z31" s="145"/>
      <c r="AA31" s="145"/>
      <c r="AB31" s="145"/>
      <c r="AC31" s="145"/>
      <c r="AD31" s="145"/>
      <c r="AE31" s="147" t="str">
        <f>IF('旅行命令上申書（近距離・国内旅行'!AE31:AJ31="","",'旅行命令上申書（近距離・国内旅行'!AE31:AJ31)</f>
        <v/>
      </c>
      <c r="AF31" s="148"/>
      <c r="AG31" s="148"/>
      <c r="AH31" s="148"/>
      <c r="AI31" s="148"/>
      <c r="AJ31" s="148"/>
      <c r="AK31" s="27" t="s">
        <v>47</v>
      </c>
      <c r="AL31" s="149" t="s">
        <v>81</v>
      </c>
      <c r="AM31" s="150"/>
      <c r="AN31" s="150"/>
      <c r="AO31" s="150"/>
      <c r="AP31" s="150"/>
      <c r="AQ31" s="151" t="str">
        <f>IF('旅行命令上申書（近距離・国内旅行'!AQ31:AS31="","",'旅行命令上申書（近距離・国内旅行'!AQ31:AS31)</f>
        <v>：</v>
      </c>
      <c r="AR31" s="151"/>
      <c r="AS31" s="151"/>
      <c r="AT31" s="23" t="s">
        <v>39</v>
      </c>
      <c r="AU31" s="255" t="str">
        <f>IF('旅行命令上申書（近距離・国内旅行'!AU31:AW31="","",'旅行命令上申書（近距離・国内旅行'!AU31:AW31)</f>
        <v>：</v>
      </c>
      <c r="AV31" s="255"/>
      <c r="AW31" s="255"/>
      <c r="AX31" s="253"/>
      <c r="AY31" s="253"/>
      <c r="AZ31" s="253"/>
      <c r="BA31" s="253"/>
      <c r="BB31" s="253"/>
      <c r="BC31" s="253"/>
      <c r="BD31" s="253"/>
      <c r="BE31" s="253"/>
      <c r="BF31" s="253"/>
      <c r="BG31" s="253"/>
      <c r="BH31" s="253"/>
      <c r="BI31" s="253"/>
      <c r="BJ31" s="253"/>
      <c r="BK31" s="253"/>
      <c r="BL31" s="253"/>
      <c r="BM31" s="253"/>
      <c r="BN31" s="253"/>
    </row>
    <row r="32" spans="1:71" ht="6.75" customHeight="1">
      <c r="BH32" s="40"/>
      <c r="BP32" s="40"/>
      <c r="BQ32" s="40"/>
      <c r="BR32" s="40"/>
      <c r="BS32" s="40"/>
    </row>
    <row r="33" spans="1:66" ht="17.25" customHeight="1">
      <c r="A33" s="132" t="s">
        <v>65</v>
      </c>
      <c r="B33" s="133"/>
      <c r="C33" s="133"/>
      <c r="D33" s="133"/>
      <c r="E33" s="133"/>
      <c r="F33" s="134"/>
      <c r="G33" s="21" t="s">
        <v>18</v>
      </c>
      <c r="H33" s="129" t="str">
        <f>IF('旅行命令上申書（近距離・国内旅行'!H33:N33="","",'旅行命令上申書（近距離・国内旅行'!H33:N33)</f>
        <v/>
      </c>
      <c r="I33" s="129"/>
      <c r="J33" s="129"/>
      <c r="K33" s="129"/>
      <c r="L33" s="129"/>
      <c r="M33" s="129"/>
      <c r="N33" s="129"/>
      <c r="O33" s="20" t="s">
        <v>14</v>
      </c>
      <c r="P33" s="129" t="str">
        <f>IF('旅行命令上申書（近距離・国内旅行'!P33:V33="","",'旅行命令上申書（近距離・国内旅行'!P33:V33)</f>
        <v/>
      </c>
      <c r="Q33" s="129"/>
      <c r="R33" s="129"/>
      <c r="S33" s="129"/>
      <c r="T33" s="129"/>
      <c r="U33" s="129"/>
      <c r="V33" s="129"/>
      <c r="W33" s="19" t="s">
        <v>13</v>
      </c>
      <c r="X33" s="129" t="str">
        <f>IF('旅行命令上申書（近距離・国内旅行'!X33:AC33="","",'旅行命令上申書（近距離・国内旅行'!X33:AC33)</f>
        <v/>
      </c>
      <c r="Y33" s="129"/>
      <c r="Z33" s="129"/>
      <c r="AA33" s="129"/>
      <c r="AB33" s="129"/>
      <c r="AC33" s="129"/>
      <c r="AD33" s="18" t="s">
        <v>12</v>
      </c>
      <c r="AE33" s="20" t="s">
        <v>16</v>
      </c>
      <c r="AF33" s="129" t="str">
        <f>IF('旅行命令上申書（近距離・国内旅行'!AF33:AL33="","",'旅行命令上申書（近距離・国内旅行'!AF33:AL33)</f>
        <v/>
      </c>
      <c r="AG33" s="129"/>
      <c r="AH33" s="129"/>
      <c r="AI33" s="129"/>
      <c r="AJ33" s="129"/>
      <c r="AK33" s="129"/>
      <c r="AL33" s="129"/>
      <c r="AM33" s="20" t="s">
        <v>90</v>
      </c>
      <c r="AN33" s="129" t="str">
        <f>IF('旅行命令上申書（近距離・国内旅行'!AN33:AT33="","",'旅行命令上申書（近距離・国内旅行'!AN33:AT33)</f>
        <v/>
      </c>
      <c r="AO33" s="129"/>
      <c r="AP33" s="129"/>
      <c r="AQ33" s="129"/>
      <c r="AR33" s="129"/>
      <c r="AS33" s="129"/>
      <c r="AT33" s="129"/>
      <c r="AU33" s="19" t="s">
        <v>91</v>
      </c>
      <c r="AV33" s="129" t="str">
        <f>IF('旅行命令上申書（近距離・国内旅行'!AV33:BA33="","",'旅行命令上申書（近距離・国内旅行'!AV33:BA33)</f>
        <v/>
      </c>
      <c r="AW33" s="129"/>
      <c r="AX33" s="129"/>
      <c r="AY33" s="129"/>
      <c r="AZ33" s="129"/>
      <c r="BA33" s="129"/>
      <c r="BB33" s="18" t="s">
        <v>92</v>
      </c>
      <c r="BC33" s="339" t="str">
        <f>'旅行命令上申書（近距離・国内旅行'!BC33:BD33</f>
        <v>□</v>
      </c>
      <c r="BD33" s="139"/>
      <c r="BE33" s="130" t="s">
        <v>11</v>
      </c>
      <c r="BF33" s="130"/>
      <c r="BG33" s="130"/>
      <c r="BH33" s="130"/>
      <c r="BI33" s="130"/>
      <c r="BJ33" s="53"/>
      <c r="BK33" s="53"/>
      <c r="BL33" s="53"/>
      <c r="BM33" s="53"/>
      <c r="BN33" s="52"/>
    </row>
    <row r="34" spans="1:66" ht="17.25" customHeight="1">
      <c r="A34" s="135"/>
      <c r="B34" s="136"/>
      <c r="C34" s="136"/>
      <c r="D34" s="136"/>
      <c r="E34" s="136"/>
      <c r="F34" s="137"/>
      <c r="G34" s="17" t="s">
        <v>17</v>
      </c>
      <c r="H34" s="131" t="str">
        <f>IF('旅行命令上申書（近距離・国内旅行'!H34:N34="","",'旅行命令上申書（近距離・国内旅行'!H34:N34)</f>
        <v/>
      </c>
      <c r="I34" s="131"/>
      <c r="J34" s="131"/>
      <c r="K34" s="131"/>
      <c r="L34" s="131"/>
      <c r="M34" s="131"/>
      <c r="N34" s="131"/>
      <c r="O34" s="16" t="s">
        <v>90</v>
      </c>
      <c r="P34" s="131" t="str">
        <f>IF('旅行命令上申書（近距離・国内旅行'!P34:V34="","",'旅行命令上申書（近距離・国内旅行'!P34:V34)</f>
        <v/>
      </c>
      <c r="Q34" s="131"/>
      <c r="R34" s="131"/>
      <c r="S34" s="131"/>
      <c r="T34" s="131"/>
      <c r="U34" s="131"/>
      <c r="V34" s="131"/>
      <c r="W34" s="15" t="s">
        <v>91</v>
      </c>
      <c r="X34" s="131" t="str">
        <f>IF('旅行命令上申書（近距離・国内旅行'!X34:AC34="","",'旅行命令上申書（近距離・国内旅行'!X34:AC34)</f>
        <v/>
      </c>
      <c r="Y34" s="131"/>
      <c r="Z34" s="131"/>
      <c r="AA34" s="131"/>
      <c r="AB34" s="131"/>
      <c r="AC34" s="131"/>
      <c r="AD34" s="14" t="s">
        <v>92</v>
      </c>
      <c r="AE34" s="16" t="s">
        <v>15</v>
      </c>
      <c r="AF34" s="131" t="str">
        <f>IF('旅行命令上申書（近距離・国内旅行'!AF34:AL34="","",'旅行命令上申書（近距離・国内旅行'!AF34:AL34)</f>
        <v/>
      </c>
      <c r="AG34" s="131"/>
      <c r="AH34" s="131"/>
      <c r="AI34" s="131"/>
      <c r="AJ34" s="131"/>
      <c r="AK34" s="131"/>
      <c r="AL34" s="131"/>
      <c r="AM34" s="16" t="s">
        <v>90</v>
      </c>
      <c r="AN34" s="131" t="str">
        <f>IF('旅行命令上申書（近距離・国内旅行'!AN34:AT34="","",'旅行命令上申書（近距離・国内旅行'!AN34:AT34)</f>
        <v/>
      </c>
      <c r="AO34" s="131"/>
      <c r="AP34" s="131"/>
      <c r="AQ34" s="131"/>
      <c r="AR34" s="131"/>
      <c r="AS34" s="131"/>
      <c r="AT34" s="131"/>
      <c r="AU34" s="15" t="s">
        <v>91</v>
      </c>
      <c r="AV34" s="131" t="str">
        <f>IF('旅行命令上申書（近距離・国内旅行'!AV34:BA34="","",'旅行命令上申書（近距離・国内旅行'!AV34:BA34)</f>
        <v/>
      </c>
      <c r="AW34" s="131"/>
      <c r="AX34" s="131"/>
      <c r="AY34" s="131"/>
      <c r="AZ34" s="131"/>
      <c r="BA34" s="131"/>
      <c r="BB34" s="14" t="s">
        <v>92</v>
      </c>
      <c r="BC34" s="8" t="s">
        <v>46</v>
      </c>
      <c r="BD34" s="51"/>
      <c r="BE34" s="51"/>
      <c r="BF34" s="51"/>
      <c r="BG34" s="51"/>
      <c r="BH34" s="51"/>
      <c r="BI34" s="51"/>
      <c r="BJ34" s="51"/>
      <c r="BK34" s="51"/>
      <c r="BL34" s="51"/>
      <c r="BM34" s="51"/>
      <c r="BN34" s="50"/>
    </row>
    <row r="35" spans="1:66" ht="16.5" customHeight="1">
      <c r="P35" s="25"/>
      <c r="BC35" s="342" t="s">
        <v>61</v>
      </c>
      <c r="BD35" s="342"/>
      <c r="BE35" s="342"/>
      <c r="BF35" s="342"/>
      <c r="BG35" s="342"/>
      <c r="BH35" s="342"/>
      <c r="BI35" s="342"/>
      <c r="BJ35" s="342"/>
      <c r="BK35" s="342"/>
      <c r="BL35" s="342"/>
      <c r="BM35" s="342"/>
      <c r="BN35" s="342"/>
    </row>
    <row r="36" spans="1:66" ht="6.75" customHeight="1">
      <c r="P36" s="25"/>
      <c r="BH36" s="40"/>
    </row>
    <row r="37" spans="1:66" ht="12.75" customHeight="1">
      <c r="A37" s="123" t="s">
        <v>68</v>
      </c>
      <c r="B37" s="123"/>
      <c r="C37" s="123"/>
      <c r="D37" s="123"/>
      <c r="E37" s="123"/>
      <c r="F37" s="123" t="s">
        <v>45</v>
      </c>
      <c r="G37" s="123"/>
      <c r="H37" s="123"/>
      <c r="I37" s="123"/>
      <c r="J37" s="123"/>
      <c r="K37" s="123"/>
      <c r="BH37" s="40"/>
    </row>
    <row r="38" spans="1:66" ht="12.75" customHeight="1">
      <c r="A38" s="123"/>
      <c r="B38" s="123"/>
      <c r="C38" s="123"/>
      <c r="D38" s="123"/>
      <c r="E38" s="123"/>
      <c r="F38" s="123"/>
      <c r="G38" s="123"/>
      <c r="H38" s="123"/>
      <c r="I38" s="123"/>
      <c r="J38" s="123"/>
      <c r="K38" s="123"/>
      <c r="BH38" s="40"/>
    </row>
    <row r="39" spans="1:66" ht="6.75" customHeight="1"/>
    <row r="40" spans="1:66" ht="18.75" customHeight="1">
      <c r="A40" s="132" t="s">
        <v>25</v>
      </c>
      <c r="B40" s="185"/>
      <c r="C40" s="185"/>
      <c r="D40" s="185"/>
      <c r="E40" s="185"/>
      <c r="F40" s="186"/>
      <c r="G40" s="346" t="s">
        <v>24</v>
      </c>
      <c r="H40" s="347"/>
      <c r="I40" s="347"/>
      <c r="J40" s="347"/>
      <c r="K40" s="347"/>
      <c r="L40" s="347"/>
      <c r="M40" s="347"/>
      <c r="N40" s="125"/>
      <c r="O40" s="348" t="str">
        <f>IF('旅行命令上申書（近距離・国内旅行'!O40:AG40="","",'旅行命令上申書（近距離・国内旅行'!O40:AG40)</f>
        <v>(選択してください)</v>
      </c>
      <c r="P40" s="348"/>
      <c r="Q40" s="348"/>
      <c r="R40" s="348"/>
      <c r="S40" s="348"/>
      <c r="T40" s="348"/>
      <c r="U40" s="348"/>
      <c r="V40" s="348"/>
      <c r="W40" s="348"/>
      <c r="X40" s="348"/>
      <c r="Y40" s="348"/>
      <c r="Z40" s="348"/>
      <c r="AA40" s="348"/>
      <c r="AB40" s="348"/>
      <c r="AC40" s="348"/>
      <c r="AD40" s="348"/>
      <c r="AE40" s="348"/>
      <c r="AF40" s="348"/>
      <c r="AG40" s="349"/>
      <c r="BH40" s="40"/>
    </row>
    <row r="41" spans="1:66" ht="18.75" customHeight="1">
      <c r="A41" s="343"/>
      <c r="B41" s="344"/>
      <c r="C41" s="344"/>
      <c r="D41" s="344"/>
      <c r="E41" s="344"/>
      <c r="F41" s="345"/>
      <c r="G41" s="350" t="str">
        <f>IF(OR(O40="基盤研究費",O40="自己負担（精算なし）",O40=""),"",IF(O40="大学運営経費","予算名称",IF(COUNTIF(O40,"*科研費*"),"種目",IF(O40="先方負担","負担種別（全額/一部）",IF(O40="その他","詳細","資金(ﾌﾟﾛｼﾞｪｸﾄ)名称")))))</f>
        <v>資金(ﾌﾟﾛｼﾞｪｸﾄ)名称</v>
      </c>
      <c r="H41" s="351"/>
      <c r="I41" s="351"/>
      <c r="J41" s="351"/>
      <c r="K41" s="351"/>
      <c r="L41" s="351"/>
      <c r="M41" s="351"/>
      <c r="N41" s="114"/>
      <c r="O41" s="352" t="str">
        <f>IF('旅行命令上申書（近距離・国内旅行'!O41:AG41="","",'旅行命令上申書（近距離・国内旅行'!O41:AG41)</f>
        <v/>
      </c>
      <c r="P41" s="352"/>
      <c r="Q41" s="352"/>
      <c r="R41" s="352"/>
      <c r="S41" s="352"/>
      <c r="T41" s="352"/>
      <c r="U41" s="352"/>
      <c r="V41" s="352"/>
      <c r="W41" s="352"/>
      <c r="X41" s="352"/>
      <c r="Y41" s="352"/>
      <c r="Z41" s="352"/>
      <c r="AA41" s="352"/>
      <c r="AB41" s="352"/>
      <c r="AC41" s="352"/>
      <c r="AD41" s="352"/>
      <c r="AE41" s="352"/>
      <c r="AF41" s="352"/>
      <c r="AG41" s="353"/>
      <c r="AH41" s="42"/>
      <c r="BH41" s="40"/>
    </row>
    <row r="42" spans="1:66" ht="17.25" customHeight="1">
      <c r="A42" s="343"/>
      <c r="B42" s="344"/>
      <c r="C42" s="344"/>
      <c r="D42" s="344"/>
      <c r="E42" s="344"/>
      <c r="F42" s="345"/>
      <c r="G42" s="350" t="str">
        <f>+IF(OR(O40="基盤研究費",O40="大学運営経費",O40="自己負担（精算なし）",O40="その他",O40=""),"",IF(O40="先方負担","先方負担先名",IF(COUNTIF(O40,"*科研費*"),"研究代表者名","経費区分（直接/間接）")))</f>
        <v>経費区分（直接/間接）</v>
      </c>
      <c r="H42" s="351"/>
      <c r="I42" s="351"/>
      <c r="J42" s="351"/>
      <c r="K42" s="351"/>
      <c r="L42" s="351"/>
      <c r="M42" s="351"/>
      <c r="N42" s="114"/>
      <c r="O42" s="352" t="str">
        <f>IF('旅行命令上申書（近距離・国内旅行'!O42:AG42="","",'旅行命令上申書（近距離・国内旅行'!O42:AG42)</f>
        <v/>
      </c>
      <c r="P42" s="352"/>
      <c r="Q42" s="352"/>
      <c r="R42" s="352"/>
      <c r="S42" s="352"/>
      <c r="T42" s="352"/>
      <c r="U42" s="352"/>
      <c r="V42" s="352"/>
      <c r="W42" s="352"/>
      <c r="X42" s="352"/>
      <c r="Y42" s="352"/>
      <c r="Z42" s="352"/>
      <c r="AA42" s="352"/>
      <c r="AB42" s="352"/>
      <c r="AC42" s="352"/>
      <c r="AD42" s="352"/>
      <c r="AE42" s="352"/>
      <c r="AF42" s="352"/>
      <c r="AG42" s="353"/>
      <c r="AH42" s="42"/>
      <c r="BH42" s="40"/>
    </row>
    <row r="43" spans="1:66" ht="17.25" customHeight="1">
      <c r="A43" s="343"/>
      <c r="B43" s="344"/>
      <c r="C43" s="344"/>
      <c r="D43" s="344"/>
      <c r="E43" s="344"/>
      <c r="F43" s="345"/>
      <c r="G43" s="350" t="str">
        <f>+IF(OR(O40="基盤研究費",O40="大学運営経費",O40="自己負担（精算なし）",O40="その他",O40=""),"",IF(O40="先方負担","先方負担内容",IF(COUNTIF(O40,"*科研費*"),"所管（ﾌﾟﾛｼﾞｪｸﾄ）名称","ﾌﾟﾛｼﾞｪｸﾄNo.(ｺｰﾄﾞ)")))</f>
        <v>ﾌﾟﾛｼﾞｪｸﾄNo.(ｺｰﾄﾞ)</v>
      </c>
      <c r="H43" s="351"/>
      <c r="I43" s="351"/>
      <c r="J43" s="351"/>
      <c r="K43" s="351"/>
      <c r="L43" s="351"/>
      <c r="M43" s="351"/>
      <c r="N43" s="114"/>
      <c r="O43" s="352" t="str">
        <f>IF('旅行命令上申書（近距離・国内旅行'!O43:AG43="","",'旅行命令上申書（近距離・国内旅行'!O43:AG43)</f>
        <v/>
      </c>
      <c r="P43" s="352"/>
      <c r="Q43" s="352"/>
      <c r="R43" s="352"/>
      <c r="S43" s="352"/>
      <c r="T43" s="352"/>
      <c r="U43" s="352"/>
      <c r="V43" s="352"/>
      <c r="W43" s="352"/>
      <c r="X43" s="352"/>
      <c r="Y43" s="352"/>
      <c r="Z43" s="352"/>
      <c r="AA43" s="352"/>
      <c r="AB43" s="352"/>
      <c r="AC43" s="352"/>
      <c r="AD43" s="352"/>
      <c r="AE43" s="352"/>
      <c r="AF43" s="352"/>
      <c r="AG43" s="353"/>
      <c r="AH43" s="42"/>
      <c r="BH43" s="40"/>
    </row>
    <row r="44" spans="1:66" ht="17.25" customHeight="1">
      <c r="A44" s="343"/>
      <c r="B44" s="344"/>
      <c r="C44" s="344"/>
      <c r="D44" s="344"/>
      <c r="E44" s="344"/>
      <c r="F44" s="345"/>
      <c r="G44" s="350" t="str">
        <f>IF(COUNTIF(O40,"*科研費*"),"ﾌﾟﾛｼﾞｪｸﾄNo.(ｺｰﾄﾞ)","")</f>
        <v/>
      </c>
      <c r="H44" s="351"/>
      <c r="I44" s="351"/>
      <c r="J44" s="351"/>
      <c r="K44" s="351"/>
      <c r="L44" s="351"/>
      <c r="M44" s="351"/>
      <c r="N44" s="114"/>
      <c r="O44" s="352" t="str">
        <f>IF('旅行命令上申書（近距離・国内旅行'!O44:AG44="","",'旅行命令上申書（近距離・国内旅行'!O44:AG44)</f>
        <v/>
      </c>
      <c r="P44" s="352"/>
      <c r="Q44" s="352"/>
      <c r="R44" s="352"/>
      <c r="S44" s="352"/>
      <c r="T44" s="352"/>
      <c r="U44" s="352"/>
      <c r="V44" s="352"/>
      <c r="W44" s="352"/>
      <c r="X44" s="352"/>
      <c r="Y44" s="352"/>
      <c r="Z44" s="352"/>
      <c r="AA44" s="352"/>
      <c r="AB44" s="352"/>
      <c r="AC44" s="352"/>
      <c r="AD44" s="352"/>
      <c r="AE44" s="352"/>
      <c r="AF44" s="352"/>
      <c r="AG44" s="353"/>
      <c r="AH44" s="42"/>
      <c r="BH44" s="40"/>
    </row>
    <row r="45" spans="1:66" ht="17.25" customHeight="1">
      <c r="A45" s="187"/>
      <c r="B45" s="188"/>
      <c r="C45" s="188"/>
      <c r="D45" s="188"/>
      <c r="E45" s="188"/>
      <c r="F45" s="189"/>
      <c r="G45" s="354" t="s">
        <v>22</v>
      </c>
      <c r="H45" s="355"/>
      <c r="I45" s="355"/>
      <c r="J45" s="355"/>
      <c r="K45" s="355"/>
      <c r="L45" s="355"/>
      <c r="M45" s="355"/>
      <c r="N45" s="355"/>
      <c r="O45" s="356" t="str">
        <f>IF('旅行命令上申書（近距離・国内旅行'!O45:AG45="","",'旅行命令上申書（近距離・国内旅行'!O45:AG45)</f>
        <v/>
      </c>
      <c r="P45" s="356"/>
      <c r="Q45" s="356"/>
      <c r="R45" s="356"/>
      <c r="S45" s="356"/>
      <c r="T45" s="356"/>
      <c r="U45" s="356"/>
      <c r="V45" s="356"/>
      <c r="W45" s="356"/>
      <c r="X45" s="356"/>
      <c r="Y45" s="356"/>
      <c r="Z45" s="356"/>
      <c r="AA45" s="356"/>
      <c r="AB45" s="356"/>
      <c r="AC45" s="356"/>
      <c r="AD45" s="356"/>
      <c r="AE45" s="356"/>
      <c r="AF45" s="356"/>
      <c r="AG45" s="357"/>
      <c r="AH45" s="42"/>
      <c r="BH45" s="40"/>
    </row>
    <row r="46" spans="1:66" ht="17.25" customHeight="1">
      <c r="A46" s="132" t="s">
        <v>21</v>
      </c>
      <c r="B46" s="185"/>
      <c r="C46" s="185"/>
      <c r="D46" s="185"/>
      <c r="E46" s="185"/>
      <c r="F46" s="186"/>
      <c r="G46" s="358" t="str">
        <f>'旅行命令上申書（近距離・国内旅行'!G46:H46</f>
        <v>□</v>
      </c>
      <c r="H46" s="359"/>
      <c r="I46" s="278" t="s">
        <v>20</v>
      </c>
      <c r="J46" s="278"/>
      <c r="K46" s="278"/>
      <c r="L46" s="278"/>
      <c r="M46" s="278"/>
      <c r="N46" s="278"/>
      <c r="O46" s="359" t="str">
        <f>'旅行命令上申書（近距離・国内旅行'!O46:P46</f>
        <v>□</v>
      </c>
      <c r="P46" s="359"/>
      <c r="Q46" s="278" t="s">
        <v>19</v>
      </c>
      <c r="R46" s="278"/>
      <c r="S46" s="278"/>
      <c r="T46" s="278"/>
      <c r="U46" s="278"/>
      <c r="V46" s="278"/>
      <c r="W46" s="43"/>
      <c r="X46" s="43"/>
      <c r="Y46" s="43"/>
      <c r="Z46" s="43"/>
      <c r="AA46" s="43"/>
      <c r="AB46" s="43"/>
      <c r="AC46" s="43"/>
      <c r="AD46" s="43"/>
      <c r="AE46" s="43"/>
      <c r="AF46" s="39"/>
      <c r="AG46" s="49"/>
      <c r="AH46" s="42"/>
      <c r="BH46" s="40"/>
    </row>
    <row r="47" spans="1:66" ht="17.25" customHeight="1">
      <c r="A47" s="343"/>
      <c r="B47" s="344"/>
      <c r="C47" s="344"/>
      <c r="D47" s="344"/>
      <c r="E47" s="344"/>
      <c r="F47" s="345"/>
      <c r="G47" s="362" t="str">
        <f>'旅行命令上申書（近距離・国内旅行'!G47:H47</f>
        <v>□</v>
      </c>
      <c r="H47" s="363"/>
      <c r="I47" s="340" t="s">
        <v>36</v>
      </c>
      <c r="J47" s="340"/>
      <c r="K47" s="340"/>
      <c r="L47" s="340"/>
      <c r="M47" s="340"/>
      <c r="N47" s="340"/>
      <c r="O47" s="363" t="str">
        <f>'旅行命令上申書（近距離・国内旅行'!O47:P47</f>
        <v>□</v>
      </c>
      <c r="P47" s="363"/>
      <c r="Q47" s="340" t="s">
        <v>35</v>
      </c>
      <c r="R47" s="340"/>
      <c r="S47" s="340"/>
      <c r="T47" s="340"/>
      <c r="U47" s="340"/>
      <c r="V47" s="340"/>
      <c r="W47" s="363" t="str">
        <f>'旅行命令上申書（近距離・国内旅行'!W47:X47</f>
        <v>□</v>
      </c>
      <c r="X47" s="363"/>
      <c r="Y47" s="48" t="s">
        <v>34</v>
      </c>
      <c r="Z47" s="48"/>
      <c r="AA47" s="48"/>
      <c r="AB47" s="48"/>
      <c r="AC47" s="48"/>
      <c r="AD47" s="48"/>
      <c r="AE47" s="48"/>
      <c r="AF47" s="47"/>
      <c r="AG47" s="46"/>
      <c r="AH47" s="42"/>
      <c r="BH47" s="40"/>
    </row>
    <row r="48" spans="1:66" ht="17.25" customHeight="1">
      <c r="A48" s="187"/>
      <c r="B48" s="188"/>
      <c r="C48" s="188"/>
      <c r="D48" s="188"/>
      <c r="E48" s="188"/>
      <c r="F48" s="189"/>
      <c r="G48" s="360" t="str">
        <f>'旅行命令上申書（近距離・国内旅行'!G48:H48</f>
        <v>□</v>
      </c>
      <c r="H48" s="361"/>
      <c r="I48" s="364" t="s">
        <v>7</v>
      </c>
      <c r="J48" s="364"/>
      <c r="K48" s="364"/>
      <c r="L48" s="364"/>
      <c r="M48" s="364"/>
      <c r="N48" s="364"/>
      <c r="O48" s="361" t="str">
        <f>'旅行命令上申書（近距離・国内旅行'!O48:P48</f>
        <v>□</v>
      </c>
      <c r="P48" s="361"/>
      <c r="Q48" s="364" t="s">
        <v>33</v>
      </c>
      <c r="R48" s="364"/>
      <c r="S48" s="364"/>
      <c r="T48" s="364"/>
      <c r="U48" s="364"/>
      <c r="V48" s="364"/>
      <c r="W48" s="361" t="str">
        <f>'旅行命令上申書（近距離・国内旅行'!W48:X48</f>
        <v>□</v>
      </c>
      <c r="X48" s="361"/>
      <c r="Y48" s="45" t="s">
        <v>32</v>
      </c>
      <c r="Z48" s="45"/>
      <c r="AA48" s="45"/>
      <c r="AB48" s="45"/>
      <c r="AC48" s="45"/>
      <c r="AD48" s="45"/>
      <c r="AE48" s="45"/>
      <c r="AF48" s="45"/>
      <c r="AG48" s="44"/>
      <c r="AH48" s="42"/>
      <c r="BH48" s="40"/>
    </row>
    <row r="49" spans="1:75" ht="17.25" customHeight="1">
      <c r="A49" s="132" t="s">
        <v>44</v>
      </c>
      <c r="B49" s="185"/>
      <c r="C49" s="185"/>
      <c r="D49" s="185"/>
      <c r="E49" s="185"/>
      <c r="F49" s="186"/>
      <c r="G49" s="93" t="str">
        <f>'旅行命令上申書（近距離・国内旅行'!G49:H50</f>
        <v>□</v>
      </c>
      <c r="H49" s="94"/>
      <c r="I49" s="89" t="s">
        <v>94</v>
      </c>
      <c r="J49" s="89"/>
      <c r="K49" s="89"/>
      <c r="L49" s="89"/>
      <c r="M49" s="89"/>
      <c r="N49" s="89"/>
      <c r="O49" s="89"/>
      <c r="P49" s="89"/>
      <c r="Q49" s="89"/>
      <c r="R49" s="89"/>
      <c r="S49" s="89"/>
      <c r="T49" s="89"/>
      <c r="U49" s="89"/>
      <c r="V49" s="89"/>
      <c r="W49" s="89"/>
      <c r="X49" s="89"/>
      <c r="Y49" s="89"/>
      <c r="Z49" s="89"/>
      <c r="AA49" s="89"/>
      <c r="AB49" s="89"/>
      <c r="AC49" s="89"/>
      <c r="AD49" s="89"/>
      <c r="AE49" s="89"/>
      <c r="AF49" s="89"/>
      <c r="AG49" s="90"/>
      <c r="AH49" s="42"/>
      <c r="BH49" s="40"/>
    </row>
    <row r="50" spans="1:75" ht="17.25" customHeight="1">
      <c r="A50" s="187"/>
      <c r="B50" s="188"/>
      <c r="C50" s="188"/>
      <c r="D50" s="188"/>
      <c r="E50" s="188"/>
      <c r="F50" s="189"/>
      <c r="G50" s="95"/>
      <c r="H50" s="96"/>
      <c r="I50" s="91"/>
      <c r="J50" s="91"/>
      <c r="K50" s="91"/>
      <c r="L50" s="91"/>
      <c r="M50" s="91"/>
      <c r="N50" s="91"/>
      <c r="O50" s="91"/>
      <c r="P50" s="91"/>
      <c r="Q50" s="91"/>
      <c r="R50" s="91"/>
      <c r="S50" s="91"/>
      <c r="T50" s="91"/>
      <c r="U50" s="91"/>
      <c r="V50" s="91"/>
      <c r="W50" s="91"/>
      <c r="X50" s="91"/>
      <c r="Y50" s="91"/>
      <c r="Z50" s="91"/>
      <c r="AA50" s="91"/>
      <c r="AB50" s="91"/>
      <c r="AC50" s="91"/>
      <c r="AD50" s="91"/>
      <c r="AE50" s="91"/>
      <c r="AF50" s="91"/>
      <c r="AG50" s="92"/>
      <c r="AH50" s="42"/>
      <c r="BH50" s="40"/>
    </row>
    <row r="51" spans="1:75" ht="17.25" customHeight="1">
      <c r="A51" s="132" t="s">
        <v>80</v>
      </c>
      <c r="B51" s="185"/>
      <c r="C51" s="185"/>
      <c r="D51" s="185"/>
      <c r="E51" s="185"/>
      <c r="F51" s="186"/>
      <c r="G51" s="358" t="s">
        <v>97</v>
      </c>
      <c r="H51" s="359"/>
      <c r="I51" s="278" t="s">
        <v>79</v>
      </c>
      <c r="J51" s="278"/>
      <c r="K51" s="278"/>
      <c r="L51" s="278"/>
      <c r="M51" s="278"/>
      <c r="N51" s="278"/>
      <c r="O51" s="278"/>
      <c r="P51" s="278"/>
      <c r="Q51" s="278"/>
      <c r="R51" s="278"/>
      <c r="S51" s="278"/>
      <c r="T51" s="278"/>
      <c r="U51" s="278"/>
      <c r="V51" s="278"/>
      <c r="W51" s="278"/>
      <c r="X51" s="278"/>
      <c r="Y51" s="278"/>
      <c r="Z51" s="278"/>
      <c r="AA51" s="278"/>
      <c r="AB51" s="278"/>
      <c r="AC51" s="278"/>
      <c r="AD51" s="278"/>
      <c r="AE51" s="278"/>
      <c r="AF51" s="278"/>
      <c r="AG51" s="279"/>
      <c r="AH51" s="42"/>
      <c r="BH51" s="40"/>
    </row>
    <row r="52" spans="1:75" ht="17.25" customHeight="1">
      <c r="A52" s="187"/>
      <c r="B52" s="188"/>
      <c r="C52" s="188"/>
      <c r="D52" s="188"/>
      <c r="E52" s="188"/>
      <c r="F52" s="189"/>
      <c r="G52" s="360" t="s">
        <v>97</v>
      </c>
      <c r="H52" s="361"/>
      <c r="I52" s="340" t="s">
        <v>78</v>
      </c>
      <c r="J52" s="340"/>
      <c r="K52" s="340"/>
      <c r="L52" s="340"/>
      <c r="M52" s="340"/>
      <c r="N52" s="340"/>
      <c r="O52" s="340"/>
      <c r="P52" s="340"/>
      <c r="Q52" s="340"/>
      <c r="R52" s="340"/>
      <c r="S52" s="340"/>
      <c r="T52" s="340"/>
      <c r="U52" s="340"/>
      <c r="V52" s="340"/>
      <c r="W52" s="340"/>
      <c r="X52" s="340"/>
      <c r="Y52" s="340"/>
      <c r="Z52" s="340"/>
      <c r="AA52" s="340"/>
      <c r="AB52" s="340"/>
      <c r="AC52" s="340"/>
      <c r="AD52" s="340"/>
      <c r="AE52" s="340"/>
      <c r="AF52" s="340"/>
      <c r="AG52" s="341"/>
      <c r="AH52" s="42"/>
      <c r="BH52" s="40"/>
    </row>
    <row r="53" spans="1:75" ht="17.25" customHeight="1">
      <c r="A53" s="326" t="s">
        <v>77</v>
      </c>
      <c r="B53" s="326"/>
      <c r="C53" s="326"/>
      <c r="D53" s="326"/>
      <c r="E53" s="326"/>
      <c r="F53" s="326"/>
      <c r="G53" s="253" t="str">
        <f>IF('旅行命令上申書（近距離・国内旅行'!G53:AG56="","",'旅行命令上申書（近距離・国内旅行'!G53:AG56)</f>
        <v/>
      </c>
      <c r="H53" s="253"/>
      <c r="I53" s="253"/>
      <c r="J53" s="253"/>
      <c r="K53" s="253"/>
      <c r="L53" s="253"/>
      <c r="M53" s="253"/>
      <c r="N53" s="253"/>
      <c r="O53" s="253"/>
      <c r="P53" s="253"/>
      <c r="Q53" s="253"/>
      <c r="R53" s="253"/>
      <c r="S53" s="253"/>
      <c r="T53" s="253"/>
      <c r="U53" s="253"/>
      <c r="V53" s="253"/>
      <c r="W53" s="253"/>
      <c r="X53" s="253"/>
      <c r="Y53" s="253"/>
      <c r="Z53" s="253"/>
      <c r="AA53" s="253"/>
      <c r="AB53" s="253"/>
      <c r="AC53" s="253"/>
      <c r="AD53" s="253"/>
      <c r="AE53" s="253"/>
      <c r="AF53" s="253"/>
      <c r="AG53" s="253"/>
      <c r="AH53" s="42"/>
      <c r="BH53" s="40"/>
      <c r="BP53" s="40"/>
      <c r="BQ53" s="40"/>
      <c r="BR53" s="40"/>
      <c r="BS53" s="40"/>
    </row>
    <row r="54" spans="1:75" ht="17.25" customHeight="1">
      <c r="A54" s="326"/>
      <c r="B54" s="326"/>
      <c r="C54" s="326"/>
      <c r="D54" s="326"/>
      <c r="E54" s="326"/>
      <c r="F54" s="326"/>
      <c r="G54" s="253"/>
      <c r="H54" s="253"/>
      <c r="I54" s="253"/>
      <c r="J54" s="253"/>
      <c r="K54" s="253"/>
      <c r="L54" s="253"/>
      <c r="M54" s="253"/>
      <c r="N54" s="253"/>
      <c r="O54" s="253"/>
      <c r="P54" s="253"/>
      <c r="Q54" s="253"/>
      <c r="R54" s="253"/>
      <c r="S54" s="253"/>
      <c r="T54" s="253"/>
      <c r="U54" s="253"/>
      <c r="V54" s="253"/>
      <c r="W54" s="253"/>
      <c r="X54" s="253"/>
      <c r="Y54" s="253"/>
      <c r="Z54" s="253"/>
      <c r="AA54" s="253"/>
      <c r="AB54" s="253"/>
      <c r="AC54" s="253"/>
      <c r="AD54" s="253"/>
      <c r="AE54" s="253"/>
      <c r="AF54" s="253"/>
      <c r="AG54" s="253"/>
      <c r="AH54" s="42"/>
      <c r="BH54" s="40"/>
      <c r="BP54" s="40"/>
      <c r="BQ54" s="40"/>
      <c r="BR54" s="40"/>
      <c r="BS54" s="40"/>
    </row>
    <row r="55" spans="1:75" ht="17.25" customHeight="1">
      <c r="A55" s="326"/>
      <c r="B55" s="326"/>
      <c r="C55" s="326"/>
      <c r="D55" s="326"/>
      <c r="E55" s="326"/>
      <c r="F55" s="326"/>
      <c r="G55" s="253"/>
      <c r="H55" s="253"/>
      <c r="I55" s="253"/>
      <c r="J55" s="253"/>
      <c r="K55" s="253"/>
      <c r="L55" s="253"/>
      <c r="M55" s="253"/>
      <c r="N55" s="253"/>
      <c r="O55" s="253"/>
      <c r="P55" s="253"/>
      <c r="Q55" s="253"/>
      <c r="R55" s="253"/>
      <c r="S55" s="253"/>
      <c r="T55" s="253"/>
      <c r="U55" s="253"/>
      <c r="V55" s="253"/>
      <c r="W55" s="253"/>
      <c r="X55" s="253"/>
      <c r="Y55" s="253"/>
      <c r="Z55" s="253"/>
      <c r="AA55" s="253"/>
      <c r="AB55" s="253"/>
      <c r="AC55" s="253"/>
      <c r="AD55" s="253"/>
      <c r="AE55" s="253"/>
      <c r="AF55" s="253"/>
      <c r="AG55" s="253"/>
      <c r="AH55" s="42"/>
      <c r="BH55" s="40"/>
      <c r="BP55" s="40"/>
      <c r="BQ55" s="40"/>
      <c r="BR55" s="40"/>
      <c r="BS55" s="40"/>
    </row>
    <row r="56" spans="1:75" ht="17.25" customHeight="1">
      <c r="A56" s="326"/>
      <c r="B56" s="326"/>
      <c r="C56" s="326"/>
      <c r="D56" s="326"/>
      <c r="E56" s="326"/>
      <c r="F56" s="326"/>
      <c r="G56" s="253"/>
      <c r="H56" s="253"/>
      <c r="I56" s="253"/>
      <c r="J56" s="253"/>
      <c r="K56" s="253"/>
      <c r="L56" s="253"/>
      <c r="M56" s="253"/>
      <c r="N56" s="253"/>
      <c r="O56" s="253"/>
      <c r="P56" s="253"/>
      <c r="Q56" s="253"/>
      <c r="R56" s="253"/>
      <c r="S56" s="253"/>
      <c r="T56" s="253"/>
      <c r="U56" s="253"/>
      <c r="V56" s="253"/>
      <c r="W56" s="253"/>
      <c r="X56" s="253"/>
      <c r="Y56" s="253"/>
      <c r="Z56" s="253"/>
      <c r="AA56" s="253"/>
      <c r="AB56" s="253"/>
      <c r="AC56" s="253"/>
      <c r="AD56" s="253"/>
      <c r="AE56" s="253"/>
      <c r="AF56" s="253"/>
      <c r="AG56" s="253"/>
      <c r="AH56" s="42"/>
      <c r="BH56" s="40"/>
      <c r="BP56" s="40"/>
      <c r="BQ56" s="40"/>
      <c r="BR56" s="40"/>
      <c r="BS56" s="40"/>
    </row>
    <row r="57" spans="1:75" ht="18" customHeight="1">
      <c r="AH57" s="25"/>
      <c r="BH57" s="40"/>
      <c r="BP57" s="40"/>
      <c r="BR57" s="40"/>
      <c r="BT57" s="40"/>
      <c r="BU57" s="40"/>
      <c r="BV57" s="40"/>
      <c r="BW57" s="40"/>
    </row>
    <row r="58" spans="1:75" ht="17.25" customHeight="1">
      <c r="A58" s="24" t="s">
        <v>59</v>
      </c>
      <c r="AT58" s="25"/>
      <c r="BA58" s="25"/>
      <c r="BJ58" s="25"/>
    </row>
    <row r="59" spans="1:75" ht="4.95" customHeight="1">
      <c r="AT59" s="25"/>
      <c r="BA59" s="25"/>
      <c r="BJ59" s="25"/>
    </row>
    <row r="60" spans="1:75" ht="17.25" customHeight="1">
      <c r="A60" s="41" t="s">
        <v>43</v>
      </c>
      <c r="AT60" s="25"/>
      <c r="BA60" s="25"/>
      <c r="BJ60" s="25"/>
    </row>
    <row r="61" spans="1:75" ht="17.25" customHeight="1">
      <c r="A61" s="24" t="s">
        <v>98</v>
      </c>
      <c r="BH61" s="40"/>
      <c r="BP61" s="40"/>
      <c r="BQ61" s="40"/>
      <c r="BR61" s="40"/>
      <c r="BS61" s="40"/>
    </row>
    <row r="62" spans="1:75" ht="17.25" customHeight="1">
      <c r="A62" s="41" t="s">
        <v>76</v>
      </c>
      <c r="BH62" s="40"/>
      <c r="BP62" s="40"/>
      <c r="BQ62" s="40"/>
      <c r="BR62" s="40"/>
      <c r="BS62" s="40"/>
    </row>
    <row r="63" spans="1:75" ht="17.25" customHeight="1">
      <c r="A63" s="41" t="s">
        <v>42</v>
      </c>
      <c r="BH63" s="40"/>
      <c r="BP63" s="40"/>
      <c r="BQ63" s="40"/>
      <c r="BR63" s="40"/>
      <c r="BS63" s="40"/>
    </row>
    <row r="64" spans="1:75" ht="17.25" customHeight="1">
      <c r="A64" s="24" t="s">
        <v>75</v>
      </c>
      <c r="I64" s="25"/>
      <c r="J64" s="25"/>
      <c r="K64" s="25"/>
      <c r="L64" s="25"/>
      <c r="M64" s="25"/>
      <c r="N64" s="25"/>
      <c r="O64" s="25"/>
      <c r="P64" s="25"/>
      <c r="Q64" s="25"/>
      <c r="R64" s="25"/>
      <c r="AJ64" s="25"/>
      <c r="AK64" s="25"/>
      <c r="AL64" s="25"/>
      <c r="AM64" s="25"/>
      <c r="AN64" s="25"/>
    </row>
    <row r="65" spans="1:71" ht="18.75" customHeight="1">
      <c r="A65" s="24" t="s">
        <v>74</v>
      </c>
      <c r="L65" s="25"/>
      <c r="M65" s="25"/>
      <c r="N65" s="25"/>
      <c r="O65" s="25"/>
      <c r="P65" s="25"/>
      <c r="Q65" s="25"/>
      <c r="AL65" s="25"/>
      <c r="AM65" s="25"/>
    </row>
    <row r="66" spans="1:71" ht="17.25" customHeight="1">
      <c r="A66" s="41" t="s">
        <v>73</v>
      </c>
      <c r="BP66" s="40"/>
      <c r="BQ66" s="40"/>
      <c r="BR66" s="40"/>
      <c r="BS66" s="40"/>
    </row>
    <row r="67" spans="1:71" ht="17.25" customHeight="1">
      <c r="A67" s="24" t="s">
        <v>72</v>
      </c>
    </row>
    <row r="68" spans="1:71" ht="12.75" customHeight="1"/>
    <row r="69" spans="1:71" ht="12.75" customHeight="1">
      <c r="BG69" s="99" t="s">
        <v>62</v>
      </c>
      <c r="BH69" s="99"/>
      <c r="BI69" s="99"/>
      <c r="BJ69" s="99"/>
      <c r="BK69" s="99"/>
      <c r="BL69" s="99"/>
      <c r="BM69" s="99"/>
      <c r="BN69" s="99"/>
    </row>
    <row r="70" spans="1:71" ht="12.75" customHeight="1"/>
  </sheetData>
  <mergeCells count="177">
    <mergeCell ref="G51:H51"/>
    <mergeCell ref="G52:H52"/>
    <mergeCell ref="I46:N46"/>
    <mergeCell ref="Q46:V46"/>
    <mergeCell ref="G47:H47"/>
    <mergeCell ref="I47:N47"/>
    <mergeCell ref="O47:P47"/>
    <mergeCell ref="Q47:V47"/>
    <mergeCell ref="W47:X47"/>
    <mergeCell ref="G48:H48"/>
    <mergeCell ref="I48:N48"/>
    <mergeCell ref="O48:P48"/>
    <mergeCell ref="Q48:V48"/>
    <mergeCell ref="W48:X48"/>
    <mergeCell ref="G49:H50"/>
    <mergeCell ref="I49:AG50"/>
    <mergeCell ref="G46:H46"/>
    <mergeCell ref="O46:P46"/>
    <mergeCell ref="BG69:BN69"/>
    <mergeCell ref="A49:F50"/>
    <mergeCell ref="A51:F52"/>
    <mergeCell ref="I51:AG51"/>
    <mergeCell ref="I52:AG52"/>
    <mergeCell ref="A53:F56"/>
    <mergeCell ref="G53:AG56"/>
    <mergeCell ref="BC35:BN35"/>
    <mergeCell ref="A37:E38"/>
    <mergeCell ref="F37:K38"/>
    <mergeCell ref="A40:F45"/>
    <mergeCell ref="G40:N40"/>
    <mergeCell ref="O40:AG40"/>
    <mergeCell ref="G41:N41"/>
    <mergeCell ref="O41:AG41"/>
    <mergeCell ref="G42:N42"/>
    <mergeCell ref="O42:AG42"/>
    <mergeCell ref="G43:N43"/>
    <mergeCell ref="O43:AG43"/>
    <mergeCell ref="G44:N44"/>
    <mergeCell ref="O44:AG44"/>
    <mergeCell ref="G45:N45"/>
    <mergeCell ref="O45:AG45"/>
    <mergeCell ref="A46:F48"/>
    <mergeCell ref="A33:F34"/>
    <mergeCell ref="H33:N33"/>
    <mergeCell ref="P33:V33"/>
    <mergeCell ref="X33:AC33"/>
    <mergeCell ref="AF33:AL33"/>
    <mergeCell ref="AN33:AT33"/>
    <mergeCell ref="AV33:BA33"/>
    <mergeCell ref="BE33:BI33"/>
    <mergeCell ref="H34:N34"/>
    <mergeCell ref="P34:V34"/>
    <mergeCell ref="X34:AC34"/>
    <mergeCell ref="AF34:AL34"/>
    <mergeCell ref="AN34:AT34"/>
    <mergeCell ref="AV34:BA34"/>
    <mergeCell ref="BC33:BD33"/>
    <mergeCell ref="AX28:BN29"/>
    <mergeCell ref="G29:J29"/>
    <mergeCell ref="L29:R29"/>
    <mergeCell ref="AE29:AJ29"/>
    <mergeCell ref="AL29:AP29"/>
    <mergeCell ref="AQ29:AS29"/>
    <mergeCell ref="AU29:AW29"/>
    <mergeCell ref="A30:A31"/>
    <mergeCell ref="B30:F31"/>
    <mergeCell ref="G30:S30"/>
    <mergeCell ref="T30:AD31"/>
    <mergeCell ref="AE30:AJ30"/>
    <mergeCell ref="AL30:AW30"/>
    <mergeCell ref="AX30:BN31"/>
    <mergeCell ref="G31:J31"/>
    <mergeCell ref="L31:R31"/>
    <mergeCell ref="AE31:AJ31"/>
    <mergeCell ref="AL31:AP31"/>
    <mergeCell ref="AQ31:AS31"/>
    <mergeCell ref="AU31:AW31"/>
    <mergeCell ref="A26:A27"/>
    <mergeCell ref="B26:F27"/>
    <mergeCell ref="G26:S26"/>
    <mergeCell ref="T26:AD27"/>
    <mergeCell ref="AE26:AJ26"/>
    <mergeCell ref="AL26:AW26"/>
    <mergeCell ref="A24:A25"/>
    <mergeCell ref="B24:F25"/>
    <mergeCell ref="A28:A29"/>
    <mergeCell ref="B28:F29"/>
    <mergeCell ref="G28:S28"/>
    <mergeCell ref="T28:AD29"/>
    <mergeCell ref="AE28:AJ28"/>
    <mergeCell ref="AL28:AW28"/>
    <mergeCell ref="A20:A21"/>
    <mergeCell ref="B20:F21"/>
    <mergeCell ref="G20:S21"/>
    <mergeCell ref="T20:AD21"/>
    <mergeCell ref="AE20:AK21"/>
    <mergeCell ref="AL20:AW21"/>
    <mergeCell ref="AX20:BN21"/>
    <mergeCell ref="A22:A23"/>
    <mergeCell ref="B22:F23"/>
    <mergeCell ref="G22:S22"/>
    <mergeCell ref="T22:AD23"/>
    <mergeCell ref="AE22:AJ22"/>
    <mergeCell ref="AL22:AW22"/>
    <mergeCell ref="AX22:BN23"/>
    <mergeCell ref="G23:J23"/>
    <mergeCell ref="L23:R23"/>
    <mergeCell ref="AE23:AJ23"/>
    <mergeCell ref="AL23:AP23"/>
    <mergeCell ref="AQ23:AS23"/>
    <mergeCell ref="AU23:AW23"/>
    <mergeCell ref="AF17:AG17"/>
    <mergeCell ref="V18:AE18"/>
    <mergeCell ref="AF18:AG18"/>
    <mergeCell ref="A13:F14"/>
    <mergeCell ref="G13:O14"/>
    <mergeCell ref="P13:Q14"/>
    <mergeCell ref="R13:Z14"/>
    <mergeCell ref="AA13:AB14"/>
    <mergeCell ref="AC13:AE14"/>
    <mergeCell ref="AF13:AG14"/>
    <mergeCell ref="BE6:BN7"/>
    <mergeCell ref="A8:F9"/>
    <mergeCell ref="G8:AG8"/>
    <mergeCell ref="AH8:AM9"/>
    <mergeCell ref="AN8:BN9"/>
    <mergeCell ref="AN13:AO13"/>
    <mergeCell ref="A15:F16"/>
    <mergeCell ref="G15:O16"/>
    <mergeCell ref="P15:U16"/>
    <mergeCell ref="V15:AE15"/>
    <mergeCell ref="AF15:AG15"/>
    <mergeCell ref="V16:AE16"/>
    <mergeCell ref="AF16:AG16"/>
    <mergeCell ref="AH13:AM18"/>
    <mergeCell ref="G9:M9"/>
    <mergeCell ref="N9:AG9"/>
    <mergeCell ref="AP13:AU13"/>
    <mergeCell ref="AV13:AW13"/>
    <mergeCell ref="AX13:BC13"/>
    <mergeCell ref="AN14:BN18"/>
    <mergeCell ref="A17:F18"/>
    <mergeCell ref="G17:O18"/>
    <mergeCell ref="P17:U18"/>
    <mergeCell ref="V17:AE17"/>
    <mergeCell ref="A1:E2"/>
    <mergeCell ref="F1:K2"/>
    <mergeCell ref="R1:AQ3"/>
    <mergeCell ref="AR1:AV1"/>
    <mergeCell ref="AX1:AX4"/>
    <mergeCell ref="AY1:BB1"/>
    <mergeCell ref="BC1:BF1"/>
    <mergeCell ref="BG1:BJ1"/>
    <mergeCell ref="BK1:BN1"/>
    <mergeCell ref="AR2:AV4"/>
    <mergeCell ref="AY2:BB4"/>
    <mergeCell ref="BC2:BF4"/>
    <mergeCell ref="BG2:BJ4"/>
    <mergeCell ref="BK2:BN4"/>
    <mergeCell ref="AX26:BN27"/>
    <mergeCell ref="G27:J27"/>
    <mergeCell ref="L27:R27"/>
    <mergeCell ref="AE27:AJ27"/>
    <mergeCell ref="AL27:AP27"/>
    <mergeCell ref="AQ27:AS27"/>
    <mergeCell ref="AX24:BN25"/>
    <mergeCell ref="G25:J25"/>
    <mergeCell ref="L25:R25"/>
    <mergeCell ref="AE25:AJ25"/>
    <mergeCell ref="AL25:AP25"/>
    <mergeCell ref="AQ25:AS25"/>
    <mergeCell ref="AU25:AW25"/>
    <mergeCell ref="G24:S24"/>
    <mergeCell ref="T24:AD25"/>
    <mergeCell ref="AE24:AJ24"/>
    <mergeCell ref="AL24:AW24"/>
    <mergeCell ref="AU27:AW27"/>
  </mergeCells>
  <phoneticPr fontId="3"/>
  <dataValidations count="1">
    <dataValidation allowBlank="1" showInputMessage="1" showErrorMessage="1" prompt="日付は「旅行期間終了日」以降の日付を入力してください。" sqref="BE6:BN7"/>
  </dataValidations>
  <printOptions horizontalCentered="1"/>
  <pageMargins left="0.19685039370078741" right="0.19685039370078741" top="0.39370078740157483" bottom="0.39370078740157483" header="0.11811023622047245" footer="0.11811023622047245"/>
  <pageSetup paperSize="9" scale="95" orientation="landscape" r:id="rId1"/>
  <headerFooter>
    <oddFooter>&amp;L&amp;P</oddFooter>
  </headerFooter>
  <rowBreaks count="1" manualBreakCount="1">
    <brk id="35"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32779" r:id="rId4" name="Check Box 11">
              <controlPr defaultSize="0" autoFill="0" autoLine="0" autoPict="0">
                <anchor moveWithCells="1">
                  <from>
                    <xdr:col>39</xdr:col>
                    <xdr:colOff>45720</xdr:colOff>
                    <xdr:row>11</xdr:row>
                    <xdr:rowOff>228600</xdr:rowOff>
                  </from>
                  <to>
                    <xdr:col>40</xdr:col>
                    <xdr:colOff>121920</xdr:colOff>
                    <xdr:row>13</xdr:row>
                    <xdr:rowOff>22860</xdr:rowOff>
                  </to>
                </anchor>
              </controlPr>
            </control>
          </mc:Choice>
        </mc:AlternateContent>
        <mc:AlternateContent xmlns:mc="http://schemas.openxmlformats.org/markup-compatibility/2006">
          <mc:Choice Requires="x14">
            <control shapeId="32780" r:id="rId5" name="Check Box 12">
              <controlPr defaultSize="0" autoFill="0" autoLine="0" autoPict="0">
                <anchor moveWithCells="1">
                  <from>
                    <xdr:col>47</xdr:col>
                    <xdr:colOff>45720</xdr:colOff>
                    <xdr:row>11</xdr:row>
                    <xdr:rowOff>228600</xdr:rowOff>
                  </from>
                  <to>
                    <xdr:col>48</xdr:col>
                    <xdr:colOff>121920</xdr:colOff>
                    <xdr:row>13</xdr:row>
                    <xdr:rowOff>22860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W67"/>
  <sheetViews>
    <sheetView view="pageBreakPreview" zoomScaleNormal="100" zoomScaleSheetLayoutView="100" workbookViewId="0">
      <selection activeCell="T22" sqref="T22:AD23"/>
    </sheetView>
  </sheetViews>
  <sheetFormatPr defaultColWidth="1.8984375" defaultRowHeight="13.2"/>
  <cols>
    <col min="1" max="1" width="2" style="2" customWidth="1"/>
    <col min="2" max="2" width="2.3984375" style="2" customWidth="1"/>
    <col min="3" max="66" width="2" style="2" customWidth="1"/>
    <col min="67" max="16384" width="1.8984375" style="2"/>
  </cols>
  <sheetData>
    <row r="1" spans="1:66" ht="12.75" customHeight="1">
      <c r="A1" s="123" t="s">
        <v>68</v>
      </c>
      <c r="B1" s="123"/>
      <c r="C1" s="123"/>
      <c r="D1" s="123"/>
      <c r="E1" s="123"/>
      <c r="F1" s="124" t="s">
        <v>45</v>
      </c>
      <c r="G1" s="124"/>
      <c r="H1" s="124"/>
      <c r="I1" s="124"/>
      <c r="J1" s="124"/>
      <c r="K1" s="124"/>
      <c r="M1" s="1"/>
      <c r="N1" s="1"/>
      <c r="O1" s="1"/>
      <c r="R1" s="1"/>
      <c r="S1" s="1"/>
      <c r="T1" s="1"/>
      <c r="U1" s="246" t="s">
        <v>99</v>
      </c>
      <c r="V1" s="246"/>
      <c r="W1" s="246"/>
      <c r="X1" s="246"/>
      <c r="Y1" s="246"/>
      <c r="Z1" s="246"/>
      <c r="AA1" s="246"/>
      <c r="AB1" s="246"/>
      <c r="AC1" s="246"/>
      <c r="AD1" s="246"/>
      <c r="AE1" s="246"/>
      <c r="AF1" s="246"/>
      <c r="AG1" s="246"/>
      <c r="AH1" s="246"/>
      <c r="AI1" s="246"/>
      <c r="AJ1" s="246"/>
      <c r="AK1" s="246"/>
      <c r="AL1" s="246"/>
      <c r="AM1" s="246"/>
      <c r="AN1" s="246"/>
      <c r="AO1" s="246"/>
      <c r="AP1" s="1"/>
      <c r="AQ1" s="22"/>
      <c r="AR1" s="247" t="s">
        <v>9</v>
      </c>
      <c r="AS1" s="248"/>
      <c r="AT1" s="248"/>
      <c r="AU1" s="248"/>
      <c r="AV1" s="249"/>
      <c r="AX1" s="250" t="s">
        <v>38</v>
      </c>
      <c r="AY1" s="237" t="s">
        <v>6</v>
      </c>
      <c r="AZ1" s="98"/>
      <c r="BA1" s="98"/>
      <c r="BB1" s="238"/>
      <c r="BC1" s="231" t="s">
        <v>10</v>
      </c>
      <c r="BD1" s="231"/>
      <c r="BE1" s="231"/>
      <c r="BF1" s="231"/>
      <c r="BG1" s="231" t="s">
        <v>5</v>
      </c>
      <c r="BH1" s="231"/>
      <c r="BI1" s="231"/>
      <c r="BJ1" s="231"/>
      <c r="BK1" s="231" t="s">
        <v>4</v>
      </c>
      <c r="BL1" s="231"/>
      <c r="BM1" s="231"/>
      <c r="BN1" s="231"/>
    </row>
    <row r="2" spans="1:66" ht="12.75" customHeight="1">
      <c r="A2" s="123"/>
      <c r="B2" s="123"/>
      <c r="C2" s="123"/>
      <c r="D2" s="123"/>
      <c r="E2" s="123"/>
      <c r="F2" s="124"/>
      <c r="G2" s="124"/>
      <c r="H2" s="124"/>
      <c r="I2" s="124"/>
      <c r="J2" s="124"/>
      <c r="K2" s="124"/>
      <c r="L2" s="1"/>
      <c r="M2" s="1"/>
      <c r="N2" s="1"/>
      <c r="O2" s="1"/>
      <c r="P2" s="1"/>
      <c r="Q2" s="1"/>
      <c r="R2" s="1"/>
      <c r="S2" s="1"/>
      <c r="T2" s="1"/>
      <c r="U2" s="246"/>
      <c r="V2" s="246"/>
      <c r="W2" s="246"/>
      <c r="X2" s="246"/>
      <c r="Y2" s="246"/>
      <c r="Z2" s="246"/>
      <c r="AA2" s="246"/>
      <c r="AB2" s="246"/>
      <c r="AC2" s="246"/>
      <c r="AD2" s="246"/>
      <c r="AE2" s="246"/>
      <c r="AF2" s="246"/>
      <c r="AG2" s="246"/>
      <c r="AH2" s="246"/>
      <c r="AI2" s="246"/>
      <c r="AJ2" s="246"/>
      <c r="AK2" s="246"/>
      <c r="AL2" s="246"/>
      <c r="AM2" s="246"/>
      <c r="AN2" s="246"/>
      <c r="AO2" s="246"/>
      <c r="AP2" s="1"/>
      <c r="AQ2" s="22"/>
      <c r="AR2" s="237"/>
      <c r="AS2" s="98"/>
      <c r="AT2" s="98"/>
      <c r="AU2" s="98"/>
      <c r="AV2" s="238"/>
      <c r="AX2" s="251"/>
      <c r="AY2" s="245"/>
      <c r="AZ2" s="245"/>
      <c r="BA2" s="245"/>
      <c r="BB2" s="245"/>
      <c r="BC2" s="245"/>
      <c r="BD2" s="245"/>
      <c r="BE2" s="245"/>
      <c r="BF2" s="245"/>
      <c r="BG2" s="245"/>
      <c r="BH2" s="245"/>
      <c r="BI2" s="245"/>
      <c r="BJ2" s="245"/>
      <c r="BK2" s="245"/>
      <c r="BL2" s="245"/>
      <c r="BM2" s="245"/>
      <c r="BN2" s="245"/>
    </row>
    <row r="3" spans="1:66" ht="13.2" customHeight="1">
      <c r="G3" s="7"/>
      <c r="H3" s="7"/>
      <c r="I3" s="7"/>
      <c r="J3" s="7"/>
      <c r="K3" s="7"/>
      <c r="L3" s="1"/>
      <c r="M3" s="1"/>
      <c r="N3" s="1"/>
      <c r="O3" s="1"/>
      <c r="P3" s="1"/>
      <c r="Q3" s="1"/>
      <c r="R3" s="1"/>
      <c r="S3" s="1"/>
      <c r="T3" s="1"/>
      <c r="U3" s="246"/>
      <c r="V3" s="246"/>
      <c r="W3" s="246"/>
      <c r="X3" s="246"/>
      <c r="Y3" s="246"/>
      <c r="Z3" s="246"/>
      <c r="AA3" s="246"/>
      <c r="AB3" s="246"/>
      <c r="AC3" s="246"/>
      <c r="AD3" s="246"/>
      <c r="AE3" s="246"/>
      <c r="AF3" s="246"/>
      <c r="AG3" s="246"/>
      <c r="AH3" s="246"/>
      <c r="AI3" s="246"/>
      <c r="AJ3" s="246"/>
      <c r="AK3" s="246"/>
      <c r="AL3" s="246"/>
      <c r="AM3" s="246"/>
      <c r="AN3" s="246"/>
      <c r="AO3" s="246"/>
      <c r="AP3" s="1"/>
      <c r="AQ3" s="22"/>
      <c r="AR3" s="242"/>
      <c r="AS3" s="243"/>
      <c r="AT3" s="243"/>
      <c r="AU3" s="243"/>
      <c r="AV3" s="244"/>
      <c r="AX3" s="251"/>
      <c r="AY3" s="245"/>
      <c r="AZ3" s="245"/>
      <c r="BA3" s="245"/>
      <c r="BB3" s="245"/>
      <c r="BC3" s="245"/>
      <c r="BD3" s="245"/>
      <c r="BE3" s="245"/>
      <c r="BF3" s="245"/>
      <c r="BG3" s="245"/>
      <c r="BH3" s="245"/>
      <c r="BI3" s="245"/>
      <c r="BJ3" s="245"/>
      <c r="BK3" s="245"/>
      <c r="BL3" s="245"/>
      <c r="BM3" s="245"/>
      <c r="BN3" s="245"/>
    </row>
    <row r="4" spans="1:66" ht="13.2" customHeight="1">
      <c r="G4" s="5"/>
      <c r="I4" s="7"/>
      <c r="J4" s="7"/>
      <c r="K4" s="7"/>
      <c r="L4" s="7"/>
      <c r="M4" s="7"/>
      <c r="N4" s="7"/>
      <c r="O4" s="7"/>
      <c r="U4" s="1"/>
      <c r="V4" s="1"/>
      <c r="W4" s="1"/>
      <c r="X4" s="1"/>
      <c r="Y4" s="1"/>
      <c r="Z4" s="28"/>
      <c r="AA4" s="28"/>
      <c r="AB4" s="1"/>
      <c r="AC4" s="1"/>
      <c r="AD4" s="1"/>
      <c r="AE4" s="1"/>
      <c r="AF4" s="1"/>
      <c r="AG4" s="1"/>
      <c r="AH4" s="1"/>
      <c r="AI4" s="28"/>
      <c r="AJ4" s="28"/>
      <c r="AK4" s="29"/>
      <c r="AL4" s="29"/>
      <c r="AM4" s="29"/>
      <c r="AQ4" s="12"/>
      <c r="AR4" s="239"/>
      <c r="AS4" s="212"/>
      <c r="AT4" s="212"/>
      <c r="AU4" s="212"/>
      <c r="AV4" s="213"/>
      <c r="AX4" s="252"/>
      <c r="AY4" s="245"/>
      <c r="AZ4" s="245"/>
      <c r="BA4" s="245"/>
      <c r="BB4" s="245"/>
      <c r="BC4" s="245"/>
      <c r="BD4" s="245"/>
      <c r="BE4" s="245"/>
      <c r="BF4" s="245"/>
      <c r="BG4" s="245"/>
      <c r="BH4" s="245"/>
      <c r="BI4" s="245"/>
      <c r="BJ4" s="245"/>
      <c r="BK4" s="245"/>
      <c r="BL4" s="245"/>
      <c r="BM4" s="245"/>
      <c r="BN4" s="245"/>
    </row>
    <row r="5" spans="1:66" ht="14.1" customHeight="1">
      <c r="G5" s="5"/>
      <c r="I5" s="5"/>
      <c r="J5" s="5"/>
      <c r="K5" s="5"/>
      <c r="L5" s="5"/>
      <c r="M5" s="5"/>
      <c r="N5" s="5"/>
      <c r="O5" s="5"/>
      <c r="P5" s="5"/>
      <c r="Q5" s="6"/>
      <c r="R5" s="6"/>
      <c r="S5" s="6"/>
      <c r="T5" s="6"/>
      <c r="U5" s="6"/>
      <c r="V5" s="6"/>
      <c r="W5" s="6"/>
      <c r="X5" s="6"/>
      <c r="Y5" s="6"/>
      <c r="Z5" s="6"/>
      <c r="AA5" s="6"/>
      <c r="AB5" s="6"/>
      <c r="AC5" s="6"/>
      <c r="AD5" s="6"/>
      <c r="AE5" s="6"/>
      <c r="AF5" s="6"/>
      <c r="AG5" s="6"/>
      <c r="AH5" s="6"/>
      <c r="AI5" s="6"/>
      <c r="AJ5" s="6"/>
      <c r="AK5" s="6"/>
      <c r="AL5" s="6"/>
      <c r="AM5" s="6"/>
      <c r="AN5" s="6"/>
      <c r="AO5" s="6"/>
      <c r="AP5" s="6"/>
      <c r="AQ5" s="12"/>
      <c r="AR5" s="6"/>
      <c r="AS5" s="6"/>
      <c r="AU5" s="5"/>
      <c r="AV5" s="5"/>
    </row>
    <row r="6" spans="1:66" ht="14.1" customHeight="1">
      <c r="A6" s="5" t="s">
        <v>37</v>
      </c>
      <c r="F6" s="5"/>
      <c r="G6" s="5"/>
      <c r="I6" s="5"/>
      <c r="J6" s="5"/>
      <c r="K6" s="5"/>
      <c r="L6" s="5"/>
      <c r="M6" s="5"/>
      <c r="N6" s="5"/>
      <c r="O6" s="5"/>
      <c r="P6" s="5"/>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U6" s="5"/>
      <c r="AV6" s="5"/>
      <c r="AY6" s="12"/>
      <c r="AZ6" s="12"/>
      <c r="BA6" s="12"/>
      <c r="BB6" s="12"/>
      <c r="BE6" s="243" t="s">
        <v>55</v>
      </c>
      <c r="BF6" s="243"/>
      <c r="BG6" s="243"/>
      <c r="BH6" s="243"/>
      <c r="BI6" s="243"/>
      <c r="BJ6" s="243"/>
      <c r="BK6" s="243"/>
      <c r="BL6" s="243"/>
      <c r="BM6" s="243"/>
      <c r="BN6" s="243"/>
    </row>
    <row r="7" spans="1:66" ht="14.1" customHeight="1">
      <c r="F7" s="5"/>
      <c r="G7" s="5"/>
      <c r="I7" s="5"/>
      <c r="J7" s="5"/>
      <c r="K7" s="5"/>
      <c r="L7" s="5"/>
      <c r="M7" s="5"/>
      <c r="N7" s="5"/>
      <c r="O7" s="5"/>
      <c r="P7" s="5"/>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U7" s="5"/>
      <c r="AV7" s="5"/>
      <c r="AY7" s="13"/>
      <c r="AZ7" s="13"/>
      <c r="BA7" s="13"/>
      <c r="BB7" s="13"/>
      <c r="BE7" s="212"/>
      <c r="BF7" s="212"/>
      <c r="BG7" s="212"/>
      <c r="BH7" s="212"/>
      <c r="BI7" s="212"/>
      <c r="BJ7" s="212"/>
      <c r="BK7" s="212"/>
      <c r="BL7" s="212"/>
      <c r="BM7" s="212"/>
      <c r="BN7" s="212"/>
    </row>
    <row r="8" spans="1:66" ht="18.75" customHeight="1">
      <c r="A8" s="179" t="s">
        <v>27</v>
      </c>
      <c r="B8" s="180"/>
      <c r="C8" s="180"/>
      <c r="D8" s="180"/>
      <c r="E8" s="180"/>
      <c r="F8" s="181"/>
      <c r="G8" s="236"/>
      <c r="H8" s="89"/>
      <c r="I8" s="89"/>
      <c r="J8" s="89"/>
      <c r="K8" s="89"/>
      <c r="L8" s="89"/>
      <c r="M8" s="89"/>
      <c r="N8" s="89"/>
      <c r="O8" s="89"/>
      <c r="P8" s="89"/>
      <c r="Q8" s="89"/>
      <c r="R8" s="89"/>
      <c r="S8" s="89"/>
      <c r="T8" s="89"/>
      <c r="U8" s="89"/>
      <c r="V8" s="89"/>
      <c r="W8" s="89"/>
      <c r="X8" s="89"/>
      <c r="Y8" s="89"/>
      <c r="Z8" s="89"/>
      <c r="AA8" s="89"/>
      <c r="AB8" s="89"/>
      <c r="AC8" s="89"/>
      <c r="AD8" s="89"/>
      <c r="AE8" s="89"/>
      <c r="AF8" s="89"/>
      <c r="AG8" s="90"/>
      <c r="AH8" s="179" t="s">
        <v>3</v>
      </c>
      <c r="AI8" s="180"/>
      <c r="AJ8" s="180"/>
      <c r="AK8" s="180"/>
      <c r="AL8" s="180"/>
      <c r="AM8" s="181"/>
      <c r="AN8" s="237"/>
      <c r="AO8" s="98"/>
      <c r="AP8" s="98"/>
      <c r="AQ8" s="98"/>
      <c r="AR8" s="98"/>
      <c r="AS8" s="98"/>
      <c r="AT8" s="98"/>
      <c r="AU8" s="98"/>
      <c r="AV8" s="98"/>
      <c r="AW8" s="98"/>
      <c r="AX8" s="98"/>
      <c r="AY8" s="98"/>
      <c r="AZ8" s="98"/>
      <c r="BA8" s="98"/>
      <c r="BB8" s="98"/>
      <c r="BC8" s="98"/>
      <c r="BD8" s="98"/>
      <c r="BE8" s="98"/>
      <c r="BF8" s="98"/>
      <c r="BG8" s="98"/>
      <c r="BH8" s="98"/>
      <c r="BI8" s="98"/>
      <c r="BJ8" s="98"/>
      <c r="BK8" s="98"/>
      <c r="BL8" s="98"/>
      <c r="BM8" s="98"/>
      <c r="BN8" s="238"/>
    </row>
    <row r="9" spans="1:66" ht="18.75" customHeight="1">
      <c r="A9" s="182"/>
      <c r="B9" s="183"/>
      <c r="C9" s="183"/>
      <c r="D9" s="183"/>
      <c r="E9" s="183"/>
      <c r="F9" s="184"/>
      <c r="G9" s="239" t="s">
        <v>26</v>
      </c>
      <c r="H9" s="212"/>
      <c r="I9" s="212"/>
      <c r="J9" s="212"/>
      <c r="K9" s="212"/>
      <c r="L9" s="212"/>
      <c r="M9" s="212"/>
      <c r="N9" s="240"/>
      <c r="O9" s="240"/>
      <c r="P9" s="240"/>
      <c r="Q9" s="240"/>
      <c r="R9" s="240"/>
      <c r="S9" s="240"/>
      <c r="T9" s="240"/>
      <c r="U9" s="240"/>
      <c r="V9" s="240"/>
      <c r="W9" s="240"/>
      <c r="X9" s="240"/>
      <c r="Y9" s="240"/>
      <c r="Z9" s="240"/>
      <c r="AA9" s="240"/>
      <c r="AB9" s="240"/>
      <c r="AC9" s="240"/>
      <c r="AD9" s="240"/>
      <c r="AE9" s="240"/>
      <c r="AF9" s="240"/>
      <c r="AG9" s="241"/>
      <c r="AH9" s="182"/>
      <c r="AI9" s="183"/>
      <c r="AJ9" s="183"/>
      <c r="AK9" s="183"/>
      <c r="AL9" s="183"/>
      <c r="AM9" s="184"/>
      <c r="AN9" s="239"/>
      <c r="AO9" s="212"/>
      <c r="AP9" s="212"/>
      <c r="AQ9" s="212"/>
      <c r="AR9" s="212"/>
      <c r="AS9" s="212"/>
      <c r="AT9" s="212"/>
      <c r="AU9" s="212"/>
      <c r="AV9" s="212"/>
      <c r="AW9" s="212"/>
      <c r="AX9" s="212"/>
      <c r="AY9" s="212"/>
      <c r="AZ9" s="212"/>
      <c r="BA9" s="212"/>
      <c r="BB9" s="212"/>
      <c r="BC9" s="212"/>
      <c r="BD9" s="212"/>
      <c r="BE9" s="212"/>
      <c r="BF9" s="212"/>
      <c r="BG9" s="212"/>
      <c r="BH9" s="212"/>
      <c r="BI9" s="212"/>
      <c r="BJ9" s="212"/>
      <c r="BK9" s="212"/>
      <c r="BL9" s="212"/>
      <c r="BM9" s="212"/>
      <c r="BN9" s="213"/>
    </row>
    <row r="10" spans="1:66" ht="17.25" customHeight="1"/>
    <row r="11" spans="1:66" ht="17.25" customHeight="1">
      <c r="B11" s="2" t="s">
        <v>41</v>
      </c>
      <c r="AP11" s="3"/>
    </row>
    <row r="12" spans="1:66" ht="6.75" customHeight="1"/>
    <row r="13" spans="1:66" ht="17.25" customHeight="1">
      <c r="A13" s="179" t="s">
        <v>0</v>
      </c>
      <c r="B13" s="180"/>
      <c r="C13" s="180"/>
      <c r="D13" s="180"/>
      <c r="E13" s="180"/>
      <c r="F13" s="181"/>
      <c r="G13" s="377">
        <v>44389</v>
      </c>
      <c r="H13" s="377"/>
      <c r="I13" s="377"/>
      <c r="J13" s="377"/>
      <c r="K13" s="377"/>
      <c r="L13" s="377"/>
      <c r="M13" s="377"/>
      <c r="N13" s="377"/>
      <c r="O13" s="378"/>
      <c r="P13" s="216" t="s">
        <v>2</v>
      </c>
      <c r="Q13" s="217"/>
      <c r="R13" s="379">
        <v>44390</v>
      </c>
      <c r="S13" s="377"/>
      <c r="T13" s="377"/>
      <c r="U13" s="377"/>
      <c r="V13" s="377"/>
      <c r="W13" s="377"/>
      <c r="X13" s="377"/>
      <c r="Y13" s="377"/>
      <c r="Z13" s="378"/>
      <c r="AA13" s="216" t="s">
        <v>1</v>
      </c>
      <c r="AB13" s="217"/>
      <c r="AC13" s="380">
        <v>2</v>
      </c>
      <c r="AD13" s="381"/>
      <c r="AE13" s="382"/>
      <c r="AF13" s="216" t="s">
        <v>8</v>
      </c>
      <c r="AG13" s="231"/>
      <c r="AH13" s="179"/>
      <c r="AI13" s="180"/>
      <c r="AJ13" s="180"/>
      <c r="AK13" s="180"/>
      <c r="AL13" s="180"/>
      <c r="AM13" s="180"/>
      <c r="AN13" s="190"/>
      <c r="AO13" s="190"/>
      <c r="AP13" s="190"/>
      <c r="AQ13" s="190"/>
      <c r="AR13" s="190"/>
      <c r="AS13" s="190"/>
      <c r="AT13" s="190"/>
      <c r="AU13" s="190"/>
      <c r="AV13" s="190"/>
      <c r="AW13" s="190"/>
      <c r="AX13" s="190"/>
      <c r="AY13" s="190"/>
      <c r="AZ13" s="190"/>
      <c r="BA13" s="190"/>
      <c r="BB13" s="190"/>
      <c r="BC13" s="190"/>
      <c r="BD13" s="190"/>
      <c r="BE13" s="190"/>
      <c r="BF13" s="190"/>
      <c r="BG13" s="190"/>
      <c r="BH13" s="190"/>
      <c r="BI13" s="190"/>
      <c r="BJ13" s="190"/>
      <c r="BK13" s="190"/>
      <c r="BL13" s="190"/>
      <c r="BM13" s="190"/>
      <c r="BN13" s="191"/>
    </row>
    <row r="14" spans="1:66" ht="17.25" customHeight="1">
      <c r="A14" s="182"/>
      <c r="B14" s="183"/>
      <c r="C14" s="183"/>
      <c r="D14" s="183"/>
      <c r="E14" s="183"/>
      <c r="F14" s="184"/>
      <c r="G14" s="377"/>
      <c r="H14" s="377"/>
      <c r="I14" s="377"/>
      <c r="J14" s="377"/>
      <c r="K14" s="377"/>
      <c r="L14" s="377"/>
      <c r="M14" s="377"/>
      <c r="N14" s="377"/>
      <c r="O14" s="378"/>
      <c r="P14" s="216"/>
      <c r="Q14" s="217"/>
      <c r="R14" s="379"/>
      <c r="S14" s="377"/>
      <c r="T14" s="377"/>
      <c r="U14" s="377"/>
      <c r="V14" s="377"/>
      <c r="W14" s="377"/>
      <c r="X14" s="377"/>
      <c r="Y14" s="377"/>
      <c r="Z14" s="378"/>
      <c r="AA14" s="216"/>
      <c r="AB14" s="217"/>
      <c r="AC14" s="380"/>
      <c r="AD14" s="381"/>
      <c r="AE14" s="382"/>
      <c r="AF14" s="216"/>
      <c r="AG14" s="231"/>
      <c r="AH14" s="232"/>
      <c r="AI14" s="233"/>
      <c r="AJ14" s="233"/>
      <c r="AK14" s="233"/>
      <c r="AL14" s="233"/>
      <c r="AM14" s="233"/>
      <c r="AN14" s="192"/>
      <c r="AO14" s="192"/>
      <c r="AP14" s="192"/>
      <c r="AQ14" s="192"/>
      <c r="AR14" s="192"/>
      <c r="AS14" s="192"/>
      <c r="AT14" s="192"/>
      <c r="AU14" s="192"/>
      <c r="AV14" s="192"/>
      <c r="AW14" s="192"/>
      <c r="AX14" s="192"/>
      <c r="AY14" s="192"/>
      <c r="AZ14" s="192"/>
      <c r="BA14" s="192"/>
      <c r="BB14" s="192"/>
      <c r="BC14" s="192"/>
      <c r="BD14" s="192"/>
      <c r="BE14" s="192"/>
      <c r="BF14" s="192"/>
      <c r="BG14" s="192"/>
      <c r="BH14" s="192"/>
      <c r="BI14" s="192"/>
      <c r="BJ14" s="192"/>
      <c r="BK14" s="192"/>
      <c r="BL14" s="192"/>
      <c r="BM14" s="192"/>
      <c r="BN14" s="193"/>
    </row>
    <row r="15" spans="1:66" ht="17.25" customHeight="1">
      <c r="A15" s="179" t="s">
        <v>52</v>
      </c>
      <c r="B15" s="180"/>
      <c r="C15" s="180"/>
      <c r="D15" s="180"/>
      <c r="E15" s="180"/>
      <c r="F15" s="181"/>
      <c r="G15" s="365" t="s">
        <v>100</v>
      </c>
      <c r="H15" s="366"/>
      <c r="I15" s="366"/>
      <c r="J15" s="366"/>
      <c r="K15" s="366"/>
      <c r="L15" s="366"/>
      <c r="M15" s="366"/>
      <c r="N15" s="366"/>
      <c r="O15" s="367"/>
      <c r="P15" s="101" t="s">
        <v>60</v>
      </c>
      <c r="Q15" s="180"/>
      <c r="R15" s="180"/>
      <c r="S15" s="180"/>
      <c r="T15" s="180"/>
      <c r="U15" s="202"/>
      <c r="V15" s="371" t="s">
        <v>101</v>
      </c>
      <c r="W15" s="372"/>
      <c r="X15" s="372"/>
      <c r="Y15" s="372"/>
      <c r="Z15" s="372"/>
      <c r="AA15" s="372"/>
      <c r="AB15" s="372"/>
      <c r="AC15" s="372"/>
      <c r="AD15" s="372"/>
      <c r="AE15" s="373"/>
      <c r="AF15" s="207" t="s">
        <v>40</v>
      </c>
      <c r="AG15" s="208"/>
      <c r="AH15" s="232"/>
      <c r="AI15" s="233"/>
      <c r="AJ15" s="233"/>
      <c r="AK15" s="233"/>
      <c r="AL15" s="233"/>
      <c r="AM15" s="233"/>
      <c r="AN15" s="192"/>
      <c r="AO15" s="192"/>
      <c r="AP15" s="192"/>
      <c r="AQ15" s="192"/>
      <c r="AR15" s="192"/>
      <c r="AS15" s="192"/>
      <c r="AT15" s="192"/>
      <c r="AU15" s="192"/>
      <c r="AV15" s="192"/>
      <c r="AW15" s="192"/>
      <c r="AX15" s="192"/>
      <c r="AY15" s="192"/>
      <c r="AZ15" s="192"/>
      <c r="BA15" s="192"/>
      <c r="BB15" s="192"/>
      <c r="BC15" s="192"/>
      <c r="BD15" s="192"/>
      <c r="BE15" s="192"/>
      <c r="BF15" s="192"/>
      <c r="BG15" s="192"/>
      <c r="BH15" s="192"/>
      <c r="BI15" s="192"/>
      <c r="BJ15" s="192"/>
      <c r="BK15" s="192"/>
      <c r="BL15" s="192"/>
      <c r="BM15" s="192"/>
      <c r="BN15" s="193"/>
    </row>
    <row r="16" spans="1:66" ht="17.25" customHeight="1">
      <c r="A16" s="182"/>
      <c r="B16" s="183"/>
      <c r="C16" s="183"/>
      <c r="D16" s="183"/>
      <c r="E16" s="183"/>
      <c r="F16" s="184"/>
      <c r="G16" s="368"/>
      <c r="H16" s="369"/>
      <c r="I16" s="369"/>
      <c r="J16" s="369"/>
      <c r="K16" s="369"/>
      <c r="L16" s="369"/>
      <c r="M16" s="369"/>
      <c r="N16" s="369"/>
      <c r="O16" s="370"/>
      <c r="P16" s="183"/>
      <c r="Q16" s="183"/>
      <c r="R16" s="183"/>
      <c r="S16" s="183"/>
      <c r="T16" s="183"/>
      <c r="U16" s="203"/>
      <c r="V16" s="374" t="s">
        <v>102</v>
      </c>
      <c r="W16" s="375"/>
      <c r="X16" s="375"/>
      <c r="Y16" s="375"/>
      <c r="Z16" s="375"/>
      <c r="AA16" s="375"/>
      <c r="AB16" s="375"/>
      <c r="AC16" s="375"/>
      <c r="AD16" s="375"/>
      <c r="AE16" s="376"/>
      <c r="AF16" s="212" t="s">
        <v>47</v>
      </c>
      <c r="AG16" s="213"/>
      <c r="AH16" s="232"/>
      <c r="AI16" s="233"/>
      <c r="AJ16" s="233"/>
      <c r="AK16" s="233"/>
      <c r="AL16" s="233"/>
      <c r="AM16" s="233"/>
      <c r="AN16" s="192"/>
      <c r="AO16" s="192"/>
      <c r="AP16" s="192"/>
      <c r="AQ16" s="192"/>
      <c r="AR16" s="192"/>
      <c r="AS16" s="192"/>
      <c r="AT16" s="192"/>
      <c r="AU16" s="192"/>
      <c r="AV16" s="192"/>
      <c r="AW16" s="192"/>
      <c r="AX16" s="192"/>
      <c r="AY16" s="192"/>
      <c r="AZ16" s="192"/>
      <c r="BA16" s="192"/>
      <c r="BB16" s="192"/>
      <c r="BC16" s="192"/>
      <c r="BD16" s="192"/>
      <c r="BE16" s="192"/>
      <c r="BF16" s="192"/>
      <c r="BG16" s="192"/>
      <c r="BH16" s="192"/>
      <c r="BI16" s="192"/>
      <c r="BJ16" s="192"/>
      <c r="BK16" s="192"/>
      <c r="BL16" s="192"/>
      <c r="BM16" s="192"/>
      <c r="BN16" s="193"/>
    </row>
    <row r="17" spans="1:75" ht="17.25" customHeight="1">
      <c r="A17" s="179" t="s">
        <v>51</v>
      </c>
      <c r="B17" s="180"/>
      <c r="C17" s="180"/>
      <c r="D17" s="180"/>
      <c r="E17" s="180"/>
      <c r="F17" s="181"/>
      <c r="G17" s="383" t="s">
        <v>103</v>
      </c>
      <c r="H17" s="384"/>
      <c r="I17" s="384"/>
      <c r="J17" s="384"/>
      <c r="K17" s="384"/>
      <c r="L17" s="384"/>
      <c r="M17" s="384"/>
      <c r="N17" s="384"/>
      <c r="O17" s="385"/>
      <c r="P17" s="101" t="s">
        <v>60</v>
      </c>
      <c r="Q17" s="180"/>
      <c r="R17" s="180"/>
      <c r="S17" s="180"/>
      <c r="T17" s="180"/>
      <c r="U17" s="202"/>
      <c r="V17" s="371" t="s">
        <v>104</v>
      </c>
      <c r="W17" s="372"/>
      <c r="X17" s="372"/>
      <c r="Y17" s="372"/>
      <c r="Z17" s="372"/>
      <c r="AA17" s="372"/>
      <c r="AB17" s="372"/>
      <c r="AC17" s="372"/>
      <c r="AD17" s="372"/>
      <c r="AE17" s="373"/>
      <c r="AF17" s="207" t="s">
        <v>40</v>
      </c>
      <c r="AG17" s="208"/>
      <c r="AH17" s="232"/>
      <c r="AI17" s="233"/>
      <c r="AJ17" s="233"/>
      <c r="AK17" s="233"/>
      <c r="AL17" s="233"/>
      <c r="AM17" s="233"/>
      <c r="AN17" s="192"/>
      <c r="AO17" s="192"/>
      <c r="AP17" s="192"/>
      <c r="AQ17" s="192"/>
      <c r="AR17" s="192"/>
      <c r="AS17" s="192"/>
      <c r="AT17" s="192"/>
      <c r="AU17" s="192"/>
      <c r="AV17" s="192"/>
      <c r="AW17" s="192"/>
      <c r="AX17" s="192"/>
      <c r="AY17" s="192"/>
      <c r="AZ17" s="192"/>
      <c r="BA17" s="192"/>
      <c r="BB17" s="192"/>
      <c r="BC17" s="192"/>
      <c r="BD17" s="192"/>
      <c r="BE17" s="192"/>
      <c r="BF17" s="192"/>
      <c r="BG17" s="192"/>
      <c r="BH17" s="192"/>
      <c r="BI17" s="192"/>
      <c r="BJ17" s="192"/>
      <c r="BK17" s="192"/>
      <c r="BL17" s="192"/>
      <c r="BM17" s="192"/>
      <c r="BN17" s="193"/>
    </row>
    <row r="18" spans="1:75" ht="17.25" customHeight="1">
      <c r="A18" s="182"/>
      <c r="B18" s="183"/>
      <c r="C18" s="183"/>
      <c r="D18" s="183"/>
      <c r="E18" s="183"/>
      <c r="F18" s="184"/>
      <c r="G18" s="386"/>
      <c r="H18" s="387"/>
      <c r="I18" s="387"/>
      <c r="J18" s="387"/>
      <c r="K18" s="387"/>
      <c r="L18" s="387"/>
      <c r="M18" s="387"/>
      <c r="N18" s="387"/>
      <c r="O18" s="388"/>
      <c r="P18" s="183"/>
      <c r="Q18" s="183"/>
      <c r="R18" s="183"/>
      <c r="S18" s="183"/>
      <c r="T18" s="183"/>
      <c r="U18" s="203"/>
      <c r="V18" s="389" t="s">
        <v>105</v>
      </c>
      <c r="W18" s="390"/>
      <c r="X18" s="390"/>
      <c r="Y18" s="390"/>
      <c r="Z18" s="390"/>
      <c r="AA18" s="390"/>
      <c r="AB18" s="390"/>
      <c r="AC18" s="390"/>
      <c r="AD18" s="390"/>
      <c r="AE18" s="391"/>
      <c r="AF18" s="212" t="s">
        <v>47</v>
      </c>
      <c r="AG18" s="213"/>
      <c r="AH18" s="182"/>
      <c r="AI18" s="183"/>
      <c r="AJ18" s="183"/>
      <c r="AK18" s="183"/>
      <c r="AL18" s="183"/>
      <c r="AM18" s="183"/>
      <c r="AN18" s="194"/>
      <c r="AO18" s="194"/>
      <c r="AP18" s="194"/>
      <c r="AQ18" s="194"/>
      <c r="AR18" s="194"/>
      <c r="AS18" s="194"/>
      <c r="AT18" s="194"/>
      <c r="AU18" s="194"/>
      <c r="AV18" s="194"/>
      <c r="AW18" s="194"/>
      <c r="AX18" s="194"/>
      <c r="AY18" s="194"/>
      <c r="AZ18" s="194"/>
      <c r="BA18" s="194"/>
      <c r="BB18" s="194"/>
      <c r="BC18" s="194"/>
      <c r="BD18" s="194"/>
      <c r="BE18" s="194"/>
      <c r="BF18" s="194"/>
      <c r="BG18" s="194"/>
      <c r="BH18" s="194"/>
      <c r="BI18" s="194"/>
      <c r="BJ18" s="194"/>
      <c r="BK18" s="194"/>
      <c r="BL18" s="194"/>
      <c r="BM18" s="194"/>
      <c r="BN18" s="195"/>
    </row>
    <row r="19" spans="1:75" ht="6.75" customHeight="1">
      <c r="BH19" s="63"/>
    </row>
    <row r="20" spans="1:75" ht="17.25" customHeight="1">
      <c r="A20" s="106"/>
      <c r="B20" s="179" t="s">
        <v>53</v>
      </c>
      <c r="C20" s="180"/>
      <c r="D20" s="180"/>
      <c r="E20" s="180"/>
      <c r="F20" s="181"/>
      <c r="G20" s="179" t="s">
        <v>50</v>
      </c>
      <c r="H20" s="180"/>
      <c r="I20" s="180"/>
      <c r="J20" s="180"/>
      <c r="K20" s="180"/>
      <c r="L20" s="180"/>
      <c r="M20" s="180"/>
      <c r="N20" s="180"/>
      <c r="O20" s="180"/>
      <c r="P20" s="180"/>
      <c r="Q20" s="180"/>
      <c r="R20" s="180"/>
      <c r="S20" s="181"/>
      <c r="T20" s="179" t="s">
        <v>49</v>
      </c>
      <c r="U20" s="180"/>
      <c r="V20" s="180"/>
      <c r="W20" s="180"/>
      <c r="X20" s="180"/>
      <c r="Y20" s="180"/>
      <c r="Z20" s="180"/>
      <c r="AA20" s="180"/>
      <c r="AB20" s="180"/>
      <c r="AC20" s="180"/>
      <c r="AD20" s="180"/>
      <c r="AE20" s="132" t="s">
        <v>66</v>
      </c>
      <c r="AF20" s="185"/>
      <c r="AG20" s="185"/>
      <c r="AH20" s="185"/>
      <c r="AI20" s="185"/>
      <c r="AJ20" s="185"/>
      <c r="AK20" s="186"/>
      <c r="AL20" s="172" t="s">
        <v>57</v>
      </c>
      <c r="AM20" s="133"/>
      <c r="AN20" s="133"/>
      <c r="AO20" s="133"/>
      <c r="AP20" s="133"/>
      <c r="AQ20" s="133"/>
      <c r="AR20" s="133"/>
      <c r="AS20" s="133"/>
      <c r="AT20" s="133"/>
      <c r="AU20" s="133"/>
      <c r="AV20" s="133"/>
      <c r="AW20" s="134"/>
      <c r="AX20" s="172" t="s">
        <v>48</v>
      </c>
      <c r="AY20" s="133"/>
      <c r="AZ20" s="133"/>
      <c r="BA20" s="133"/>
      <c r="BB20" s="133"/>
      <c r="BC20" s="133"/>
      <c r="BD20" s="133"/>
      <c r="BE20" s="133"/>
      <c r="BF20" s="133"/>
      <c r="BG20" s="133"/>
      <c r="BH20" s="133"/>
      <c r="BI20" s="133"/>
      <c r="BJ20" s="133"/>
      <c r="BK20" s="133"/>
      <c r="BL20" s="133"/>
      <c r="BM20" s="133"/>
      <c r="BN20" s="134"/>
    </row>
    <row r="21" spans="1:75" ht="17.25" customHeight="1">
      <c r="A21" s="106"/>
      <c r="B21" s="182"/>
      <c r="C21" s="183"/>
      <c r="D21" s="183"/>
      <c r="E21" s="183"/>
      <c r="F21" s="184"/>
      <c r="G21" s="182"/>
      <c r="H21" s="183"/>
      <c r="I21" s="183"/>
      <c r="J21" s="183"/>
      <c r="K21" s="183"/>
      <c r="L21" s="183"/>
      <c r="M21" s="183"/>
      <c r="N21" s="183"/>
      <c r="O21" s="183"/>
      <c r="P21" s="183"/>
      <c r="Q21" s="183"/>
      <c r="R21" s="183"/>
      <c r="S21" s="184"/>
      <c r="T21" s="182"/>
      <c r="U21" s="183"/>
      <c r="V21" s="183"/>
      <c r="W21" s="183"/>
      <c r="X21" s="183"/>
      <c r="Y21" s="183"/>
      <c r="Z21" s="183"/>
      <c r="AA21" s="183"/>
      <c r="AB21" s="183"/>
      <c r="AC21" s="183"/>
      <c r="AD21" s="183"/>
      <c r="AE21" s="187"/>
      <c r="AF21" s="188"/>
      <c r="AG21" s="188"/>
      <c r="AH21" s="188"/>
      <c r="AI21" s="188"/>
      <c r="AJ21" s="188"/>
      <c r="AK21" s="189"/>
      <c r="AL21" s="135"/>
      <c r="AM21" s="136"/>
      <c r="AN21" s="136"/>
      <c r="AO21" s="136"/>
      <c r="AP21" s="136"/>
      <c r="AQ21" s="136"/>
      <c r="AR21" s="136"/>
      <c r="AS21" s="136"/>
      <c r="AT21" s="136"/>
      <c r="AU21" s="136"/>
      <c r="AV21" s="136"/>
      <c r="AW21" s="137"/>
      <c r="AX21" s="135"/>
      <c r="AY21" s="136"/>
      <c r="AZ21" s="136"/>
      <c r="BA21" s="136"/>
      <c r="BB21" s="136"/>
      <c r="BC21" s="136"/>
      <c r="BD21" s="136"/>
      <c r="BE21" s="136"/>
      <c r="BF21" s="136"/>
      <c r="BG21" s="136"/>
      <c r="BH21" s="136"/>
      <c r="BI21" s="136"/>
      <c r="BJ21" s="136"/>
      <c r="BK21" s="136"/>
      <c r="BL21" s="136"/>
      <c r="BM21" s="136"/>
      <c r="BN21" s="137"/>
    </row>
    <row r="22" spans="1:75" ht="17.25" customHeight="1">
      <c r="A22" s="106">
        <v>1</v>
      </c>
      <c r="B22" s="392">
        <v>44390</v>
      </c>
      <c r="C22" s="393"/>
      <c r="D22" s="393"/>
      <c r="E22" s="393"/>
      <c r="F22" s="394"/>
      <c r="G22" s="398" t="s">
        <v>106</v>
      </c>
      <c r="H22" s="399"/>
      <c r="I22" s="399"/>
      <c r="J22" s="399"/>
      <c r="K22" s="399"/>
      <c r="L22" s="399"/>
      <c r="M22" s="399"/>
      <c r="N22" s="399"/>
      <c r="O22" s="399"/>
      <c r="P22" s="399"/>
      <c r="Q22" s="399"/>
      <c r="R22" s="399"/>
      <c r="S22" s="400"/>
      <c r="T22" s="404" t="s">
        <v>107</v>
      </c>
      <c r="U22" s="405"/>
      <c r="V22" s="405"/>
      <c r="W22" s="405"/>
      <c r="X22" s="405"/>
      <c r="Y22" s="405"/>
      <c r="Z22" s="405"/>
      <c r="AA22" s="405"/>
      <c r="AB22" s="405"/>
      <c r="AC22" s="405"/>
      <c r="AD22" s="405"/>
      <c r="AE22" s="408" t="s">
        <v>101</v>
      </c>
      <c r="AF22" s="409"/>
      <c r="AG22" s="409"/>
      <c r="AH22" s="409"/>
      <c r="AI22" s="409"/>
      <c r="AJ22" s="409"/>
      <c r="AK22" s="26" t="s">
        <v>40</v>
      </c>
      <c r="AL22" s="410" t="s">
        <v>108</v>
      </c>
      <c r="AM22" s="411"/>
      <c r="AN22" s="411"/>
      <c r="AO22" s="411"/>
      <c r="AP22" s="411"/>
      <c r="AQ22" s="411"/>
      <c r="AR22" s="411"/>
      <c r="AS22" s="411"/>
      <c r="AT22" s="411"/>
      <c r="AU22" s="411"/>
      <c r="AV22" s="411"/>
      <c r="AW22" s="412"/>
      <c r="AX22" s="413" t="s">
        <v>109</v>
      </c>
      <c r="AY22" s="414"/>
      <c r="AZ22" s="414"/>
      <c r="BA22" s="414"/>
      <c r="BB22" s="414"/>
      <c r="BC22" s="414"/>
      <c r="BD22" s="414"/>
      <c r="BE22" s="414"/>
      <c r="BF22" s="414"/>
      <c r="BG22" s="414"/>
      <c r="BH22" s="414"/>
      <c r="BI22" s="414"/>
      <c r="BJ22" s="414"/>
      <c r="BK22" s="414"/>
      <c r="BL22" s="414"/>
      <c r="BM22" s="414"/>
      <c r="BN22" s="415"/>
    </row>
    <row r="23" spans="1:75" ht="17.25" customHeight="1">
      <c r="A23" s="106"/>
      <c r="B23" s="395"/>
      <c r="C23" s="396"/>
      <c r="D23" s="396"/>
      <c r="E23" s="396"/>
      <c r="F23" s="397"/>
      <c r="G23" s="401"/>
      <c r="H23" s="402"/>
      <c r="I23" s="402"/>
      <c r="J23" s="402"/>
      <c r="K23" s="402"/>
      <c r="L23" s="402"/>
      <c r="M23" s="402"/>
      <c r="N23" s="402"/>
      <c r="O23" s="402"/>
      <c r="P23" s="402"/>
      <c r="Q23" s="402"/>
      <c r="R23" s="402"/>
      <c r="S23" s="403"/>
      <c r="T23" s="406"/>
      <c r="U23" s="407"/>
      <c r="V23" s="407"/>
      <c r="W23" s="407"/>
      <c r="X23" s="407"/>
      <c r="Y23" s="407"/>
      <c r="Z23" s="407"/>
      <c r="AA23" s="407"/>
      <c r="AB23" s="407"/>
      <c r="AC23" s="407"/>
      <c r="AD23" s="407"/>
      <c r="AE23" s="419" t="s">
        <v>110</v>
      </c>
      <c r="AF23" s="420"/>
      <c r="AG23" s="420"/>
      <c r="AH23" s="420"/>
      <c r="AI23" s="420"/>
      <c r="AJ23" s="420"/>
      <c r="AK23" s="27" t="s">
        <v>47</v>
      </c>
      <c r="AL23" s="149" t="s">
        <v>67</v>
      </c>
      <c r="AM23" s="150"/>
      <c r="AN23" s="150"/>
      <c r="AO23" s="150"/>
      <c r="AP23" s="150"/>
      <c r="AQ23" s="421">
        <v>0.375</v>
      </c>
      <c r="AR23" s="421"/>
      <c r="AS23" s="421"/>
      <c r="AT23" s="23" t="s">
        <v>39</v>
      </c>
      <c r="AU23" s="421">
        <v>0.70833333333333337</v>
      </c>
      <c r="AV23" s="422"/>
      <c r="AW23" s="423"/>
      <c r="AX23" s="416"/>
      <c r="AY23" s="417"/>
      <c r="AZ23" s="417"/>
      <c r="BA23" s="417"/>
      <c r="BB23" s="417"/>
      <c r="BC23" s="417"/>
      <c r="BD23" s="417"/>
      <c r="BE23" s="417"/>
      <c r="BF23" s="417"/>
      <c r="BG23" s="417"/>
      <c r="BH23" s="417"/>
      <c r="BI23" s="417"/>
      <c r="BJ23" s="417"/>
      <c r="BK23" s="417"/>
      <c r="BL23" s="417"/>
      <c r="BM23" s="417"/>
      <c r="BN23" s="418"/>
    </row>
    <row r="24" spans="1:75" ht="17.25" customHeight="1">
      <c r="A24" s="106">
        <v>2</v>
      </c>
      <c r="B24" s="154"/>
      <c r="C24" s="155"/>
      <c r="D24" s="155"/>
      <c r="E24" s="155"/>
      <c r="F24" s="156"/>
      <c r="G24" s="160"/>
      <c r="H24" s="161"/>
      <c r="I24" s="161"/>
      <c r="J24" s="161"/>
      <c r="K24" s="161"/>
      <c r="L24" s="161"/>
      <c r="M24" s="161"/>
      <c r="N24" s="161"/>
      <c r="O24" s="161"/>
      <c r="P24" s="161"/>
      <c r="Q24" s="161"/>
      <c r="R24" s="161"/>
      <c r="S24" s="162"/>
      <c r="T24" s="166"/>
      <c r="U24" s="167"/>
      <c r="V24" s="167"/>
      <c r="W24" s="167"/>
      <c r="X24" s="167"/>
      <c r="Y24" s="167"/>
      <c r="Z24" s="167"/>
      <c r="AA24" s="167"/>
      <c r="AB24" s="167"/>
      <c r="AC24" s="167"/>
      <c r="AD24" s="167"/>
      <c r="AE24" s="170"/>
      <c r="AF24" s="171"/>
      <c r="AG24" s="171"/>
      <c r="AH24" s="171"/>
      <c r="AI24" s="171"/>
      <c r="AJ24" s="171"/>
      <c r="AK24" s="26" t="s">
        <v>40</v>
      </c>
      <c r="AL24" s="138"/>
      <c r="AM24" s="139"/>
      <c r="AN24" s="139"/>
      <c r="AO24" s="139"/>
      <c r="AP24" s="139"/>
      <c r="AQ24" s="139"/>
      <c r="AR24" s="139"/>
      <c r="AS24" s="139"/>
      <c r="AT24" s="139"/>
      <c r="AU24" s="139"/>
      <c r="AV24" s="139"/>
      <c r="AW24" s="140"/>
      <c r="AX24" s="141"/>
      <c r="AY24" s="142"/>
      <c r="AZ24" s="142"/>
      <c r="BA24" s="142"/>
      <c r="BB24" s="142"/>
      <c r="BC24" s="142"/>
      <c r="BD24" s="142"/>
      <c r="BE24" s="142"/>
      <c r="BF24" s="142"/>
      <c r="BG24" s="142"/>
      <c r="BH24" s="142"/>
      <c r="BI24" s="142"/>
      <c r="BJ24" s="142"/>
      <c r="BK24" s="142"/>
      <c r="BL24" s="142"/>
      <c r="BM24" s="142"/>
      <c r="BN24" s="143"/>
    </row>
    <row r="25" spans="1:75" ht="17.25" customHeight="1">
      <c r="A25" s="106"/>
      <c r="B25" s="157"/>
      <c r="C25" s="158"/>
      <c r="D25" s="158"/>
      <c r="E25" s="158"/>
      <c r="F25" s="159"/>
      <c r="G25" s="163"/>
      <c r="H25" s="164"/>
      <c r="I25" s="164"/>
      <c r="J25" s="164"/>
      <c r="K25" s="164"/>
      <c r="L25" s="164"/>
      <c r="M25" s="164"/>
      <c r="N25" s="164"/>
      <c r="O25" s="164"/>
      <c r="P25" s="164"/>
      <c r="Q25" s="164"/>
      <c r="R25" s="164"/>
      <c r="S25" s="165"/>
      <c r="T25" s="168"/>
      <c r="U25" s="169"/>
      <c r="V25" s="169"/>
      <c r="W25" s="169"/>
      <c r="X25" s="169"/>
      <c r="Y25" s="169"/>
      <c r="Z25" s="169"/>
      <c r="AA25" s="169"/>
      <c r="AB25" s="169"/>
      <c r="AC25" s="169"/>
      <c r="AD25" s="169"/>
      <c r="AE25" s="147"/>
      <c r="AF25" s="148"/>
      <c r="AG25" s="148"/>
      <c r="AH25" s="148"/>
      <c r="AI25" s="148"/>
      <c r="AJ25" s="148"/>
      <c r="AK25" s="27" t="s">
        <v>47</v>
      </c>
      <c r="AL25" s="149" t="s">
        <v>67</v>
      </c>
      <c r="AM25" s="150"/>
      <c r="AN25" s="150"/>
      <c r="AO25" s="150"/>
      <c r="AP25" s="150"/>
      <c r="AQ25" s="151" t="s">
        <v>58</v>
      </c>
      <c r="AR25" s="151"/>
      <c r="AS25" s="151"/>
      <c r="AT25" s="23" t="s">
        <v>39</v>
      </c>
      <c r="AU25" s="152" t="s">
        <v>58</v>
      </c>
      <c r="AV25" s="152"/>
      <c r="AW25" s="153"/>
      <c r="AX25" s="144"/>
      <c r="AY25" s="145"/>
      <c r="AZ25" s="145"/>
      <c r="BA25" s="145"/>
      <c r="BB25" s="145"/>
      <c r="BC25" s="145"/>
      <c r="BD25" s="145"/>
      <c r="BE25" s="145"/>
      <c r="BF25" s="145"/>
      <c r="BG25" s="145"/>
      <c r="BH25" s="145"/>
      <c r="BI25" s="145"/>
      <c r="BJ25" s="145"/>
      <c r="BK25" s="145"/>
      <c r="BL25" s="145"/>
      <c r="BM25" s="145"/>
      <c r="BN25" s="146"/>
    </row>
    <row r="26" spans="1:75" ht="17.25" customHeight="1">
      <c r="A26" s="106">
        <v>3</v>
      </c>
      <c r="B26" s="154"/>
      <c r="C26" s="155"/>
      <c r="D26" s="155"/>
      <c r="E26" s="155"/>
      <c r="F26" s="156"/>
      <c r="G26" s="160"/>
      <c r="H26" s="161"/>
      <c r="I26" s="161"/>
      <c r="J26" s="161"/>
      <c r="K26" s="161"/>
      <c r="L26" s="161"/>
      <c r="M26" s="161"/>
      <c r="N26" s="161"/>
      <c r="O26" s="161"/>
      <c r="P26" s="161"/>
      <c r="Q26" s="161"/>
      <c r="R26" s="161"/>
      <c r="S26" s="162"/>
      <c r="T26" s="166"/>
      <c r="U26" s="167"/>
      <c r="V26" s="167"/>
      <c r="W26" s="167"/>
      <c r="X26" s="167"/>
      <c r="Y26" s="167"/>
      <c r="Z26" s="167"/>
      <c r="AA26" s="167"/>
      <c r="AB26" s="167"/>
      <c r="AC26" s="167"/>
      <c r="AD26" s="167"/>
      <c r="AE26" s="170"/>
      <c r="AF26" s="171"/>
      <c r="AG26" s="171"/>
      <c r="AH26" s="171"/>
      <c r="AI26" s="171"/>
      <c r="AJ26" s="171"/>
      <c r="AK26" s="26" t="s">
        <v>40</v>
      </c>
      <c r="AL26" s="138"/>
      <c r="AM26" s="139"/>
      <c r="AN26" s="139"/>
      <c r="AO26" s="139"/>
      <c r="AP26" s="139"/>
      <c r="AQ26" s="139"/>
      <c r="AR26" s="139"/>
      <c r="AS26" s="139"/>
      <c r="AT26" s="139"/>
      <c r="AU26" s="139"/>
      <c r="AV26" s="139"/>
      <c r="AW26" s="140"/>
      <c r="AX26" s="141"/>
      <c r="AY26" s="142"/>
      <c r="AZ26" s="142"/>
      <c r="BA26" s="142"/>
      <c r="BB26" s="142"/>
      <c r="BC26" s="142"/>
      <c r="BD26" s="142"/>
      <c r="BE26" s="142"/>
      <c r="BF26" s="142"/>
      <c r="BG26" s="142"/>
      <c r="BH26" s="142"/>
      <c r="BI26" s="142"/>
      <c r="BJ26" s="142"/>
      <c r="BK26" s="142"/>
      <c r="BL26" s="142"/>
      <c r="BM26" s="142"/>
      <c r="BN26" s="143"/>
    </row>
    <row r="27" spans="1:75" ht="17.25" customHeight="1">
      <c r="A27" s="106"/>
      <c r="B27" s="157"/>
      <c r="C27" s="158"/>
      <c r="D27" s="158"/>
      <c r="E27" s="158"/>
      <c r="F27" s="159"/>
      <c r="G27" s="163"/>
      <c r="H27" s="164"/>
      <c r="I27" s="164"/>
      <c r="J27" s="164"/>
      <c r="K27" s="164"/>
      <c r="L27" s="164"/>
      <c r="M27" s="164"/>
      <c r="N27" s="164"/>
      <c r="O27" s="164"/>
      <c r="P27" s="164"/>
      <c r="Q27" s="164"/>
      <c r="R27" s="164"/>
      <c r="S27" s="165"/>
      <c r="T27" s="168"/>
      <c r="U27" s="169"/>
      <c r="V27" s="169"/>
      <c r="W27" s="169"/>
      <c r="X27" s="169"/>
      <c r="Y27" s="169"/>
      <c r="Z27" s="169"/>
      <c r="AA27" s="169"/>
      <c r="AB27" s="169"/>
      <c r="AC27" s="169"/>
      <c r="AD27" s="169"/>
      <c r="AE27" s="147"/>
      <c r="AF27" s="148"/>
      <c r="AG27" s="148"/>
      <c r="AH27" s="148"/>
      <c r="AI27" s="148"/>
      <c r="AJ27" s="148"/>
      <c r="AK27" s="27" t="s">
        <v>47</v>
      </c>
      <c r="AL27" s="149" t="s">
        <v>67</v>
      </c>
      <c r="AM27" s="150"/>
      <c r="AN27" s="150"/>
      <c r="AO27" s="150"/>
      <c r="AP27" s="150"/>
      <c r="AQ27" s="151" t="s">
        <v>58</v>
      </c>
      <c r="AR27" s="151"/>
      <c r="AS27" s="151"/>
      <c r="AT27" s="23" t="s">
        <v>39</v>
      </c>
      <c r="AU27" s="152" t="s">
        <v>58</v>
      </c>
      <c r="AV27" s="152"/>
      <c r="AW27" s="153"/>
      <c r="AX27" s="144"/>
      <c r="AY27" s="145"/>
      <c r="AZ27" s="145"/>
      <c r="BA27" s="145"/>
      <c r="BB27" s="145"/>
      <c r="BC27" s="145"/>
      <c r="BD27" s="145"/>
      <c r="BE27" s="145"/>
      <c r="BF27" s="145"/>
      <c r="BG27" s="145"/>
      <c r="BH27" s="145"/>
      <c r="BI27" s="145"/>
      <c r="BJ27" s="145"/>
      <c r="BK27" s="145"/>
      <c r="BL27" s="145"/>
      <c r="BM27" s="145"/>
      <c r="BN27" s="146"/>
    </row>
    <row r="28" spans="1:75" ht="17.25" customHeight="1">
      <c r="A28" s="106">
        <v>4</v>
      </c>
      <c r="B28" s="154"/>
      <c r="C28" s="155"/>
      <c r="D28" s="155"/>
      <c r="E28" s="155"/>
      <c r="F28" s="156"/>
      <c r="G28" s="160"/>
      <c r="H28" s="161"/>
      <c r="I28" s="161"/>
      <c r="J28" s="161"/>
      <c r="K28" s="161"/>
      <c r="L28" s="161"/>
      <c r="M28" s="161"/>
      <c r="N28" s="161"/>
      <c r="O28" s="161"/>
      <c r="P28" s="161"/>
      <c r="Q28" s="161"/>
      <c r="R28" s="161"/>
      <c r="S28" s="162"/>
      <c r="T28" s="166"/>
      <c r="U28" s="167"/>
      <c r="V28" s="167"/>
      <c r="W28" s="167"/>
      <c r="X28" s="167"/>
      <c r="Y28" s="167"/>
      <c r="Z28" s="167"/>
      <c r="AA28" s="167"/>
      <c r="AB28" s="167"/>
      <c r="AC28" s="167"/>
      <c r="AD28" s="167"/>
      <c r="AE28" s="170"/>
      <c r="AF28" s="171"/>
      <c r="AG28" s="171"/>
      <c r="AH28" s="171"/>
      <c r="AI28" s="171"/>
      <c r="AJ28" s="171"/>
      <c r="AK28" s="26" t="s">
        <v>40</v>
      </c>
      <c r="AL28" s="138"/>
      <c r="AM28" s="139"/>
      <c r="AN28" s="139"/>
      <c r="AO28" s="139"/>
      <c r="AP28" s="139"/>
      <c r="AQ28" s="139"/>
      <c r="AR28" s="139"/>
      <c r="AS28" s="139"/>
      <c r="AT28" s="139"/>
      <c r="AU28" s="139"/>
      <c r="AV28" s="139"/>
      <c r="AW28" s="140"/>
      <c r="AX28" s="141"/>
      <c r="AY28" s="142"/>
      <c r="AZ28" s="142"/>
      <c r="BA28" s="142"/>
      <c r="BB28" s="142"/>
      <c r="BC28" s="142"/>
      <c r="BD28" s="142"/>
      <c r="BE28" s="142"/>
      <c r="BF28" s="142"/>
      <c r="BG28" s="142"/>
      <c r="BH28" s="142"/>
      <c r="BI28" s="142"/>
      <c r="BJ28" s="142"/>
      <c r="BK28" s="142"/>
      <c r="BL28" s="142"/>
      <c r="BM28" s="142"/>
      <c r="BN28" s="143"/>
    </row>
    <row r="29" spans="1:75" ht="17.25" customHeight="1">
      <c r="A29" s="106"/>
      <c r="B29" s="157"/>
      <c r="C29" s="158"/>
      <c r="D29" s="158"/>
      <c r="E29" s="158"/>
      <c r="F29" s="159"/>
      <c r="G29" s="163"/>
      <c r="H29" s="164"/>
      <c r="I29" s="164"/>
      <c r="J29" s="164"/>
      <c r="K29" s="164"/>
      <c r="L29" s="164"/>
      <c r="M29" s="164"/>
      <c r="N29" s="164"/>
      <c r="O29" s="164"/>
      <c r="P29" s="164"/>
      <c r="Q29" s="164"/>
      <c r="R29" s="164"/>
      <c r="S29" s="165"/>
      <c r="T29" s="168"/>
      <c r="U29" s="169"/>
      <c r="V29" s="169"/>
      <c r="W29" s="169"/>
      <c r="X29" s="169"/>
      <c r="Y29" s="169"/>
      <c r="Z29" s="169"/>
      <c r="AA29" s="169"/>
      <c r="AB29" s="169"/>
      <c r="AC29" s="169"/>
      <c r="AD29" s="169"/>
      <c r="AE29" s="147"/>
      <c r="AF29" s="148"/>
      <c r="AG29" s="148"/>
      <c r="AH29" s="148"/>
      <c r="AI29" s="148"/>
      <c r="AJ29" s="148"/>
      <c r="AK29" s="27" t="s">
        <v>47</v>
      </c>
      <c r="AL29" s="149" t="s">
        <v>67</v>
      </c>
      <c r="AM29" s="150"/>
      <c r="AN29" s="150"/>
      <c r="AO29" s="150"/>
      <c r="AP29" s="150"/>
      <c r="AQ29" s="151" t="s">
        <v>58</v>
      </c>
      <c r="AR29" s="151"/>
      <c r="AS29" s="151"/>
      <c r="AT29" s="23" t="s">
        <v>39</v>
      </c>
      <c r="AU29" s="152" t="s">
        <v>58</v>
      </c>
      <c r="AV29" s="152"/>
      <c r="AW29" s="153"/>
      <c r="AX29" s="144"/>
      <c r="AY29" s="145"/>
      <c r="AZ29" s="145"/>
      <c r="BA29" s="145"/>
      <c r="BB29" s="145"/>
      <c r="BC29" s="145"/>
      <c r="BD29" s="145"/>
      <c r="BE29" s="145"/>
      <c r="BF29" s="145"/>
      <c r="BG29" s="145"/>
      <c r="BH29" s="145"/>
      <c r="BI29" s="145"/>
      <c r="BJ29" s="145"/>
      <c r="BK29" s="145"/>
      <c r="BL29" s="145"/>
      <c r="BM29" s="145"/>
      <c r="BN29" s="146"/>
    </row>
    <row r="30" spans="1:75" ht="17.25" customHeight="1">
      <c r="A30" s="106">
        <v>5</v>
      </c>
      <c r="B30" s="154"/>
      <c r="C30" s="155"/>
      <c r="D30" s="155"/>
      <c r="E30" s="155"/>
      <c r="F30" s="156"/>
      <c r="G30" s="160"/>
      <c r="H30" s="161"/>
      <c r="I30" s="161"/>
      <c r="J30" s="161"/>
      <c r="K30" s="161"/>
      <c r="L30" s="161"/>
      <c r="M30" s="161"/>
      <c r="N30" s="161"/>
      <c r="O30" s="161"/>
      <c r="P30" s="161"/>
      <c r="Q30" s="161"/>
      <c r="R30" s="161"/>
      <c r="S30" s="162"/>
      <c r="T30" s="166"/>
      <c r="U30" s="167"/>
      <c r="V30" s="167"/>
      <c r="W30" s="167"/>
      <c r="X30" s="167"/>
      <c r="Y30" s="167"/>
      <c r="Z30" s="167"/>
      <c r="AA30" s="167"/>
      <c r="AB30" s="167"/>
      <c r="AC30" s="167"/>
      <c r="AD30" s="167"/>
      <c r="AE30" s="170"/>
      <c r="AF30" s="171"/>
      <c r="AG30" s="171"/>
      <c r="AH30" s="171"/>
      <c r="AI30" s="171"/>
      <c r="AJ30" s="171"/>
      <c r="AK30" s="26" t="s">
        <v>40</v>
      </c>
      <c r="AL30" s="138"/>
      <c r="AM30" s="139"/>
      <c r="AN30" s="139"/>
      <c r="AO30" s="139"/>
      <c r="AP30" s="139"/>
      <c r="AQ30" s="139"/>
      <c r="AR30" s="139"/>
      <c r="AS30" s="139"/>
      <c r="AT30" s="139"/>
      <c r="AU30" s="139"/>
      <c r="AV30" s="139"/>
      <c r="AW30" s="140"/>
      <c r="AX30" s="141"/>
      <c r="AY30" s="142"/>
      <c r="AZ30" s="142"/>
      <c r="BA30" s="142"/>
      <c r="BB30" s="142"/>
      <c r="BC30" s="142"/>
      <c r="BD30" s="142"/>
      <c r="BE30" s="142"/>
      <c r="BF30" s="142"/>
      <c r="BG30" s="142"/>
      <c r="BH30" s="142"/>
      <c r="BI30" s="142"/>
      <c r="BJ30" s="142"/>
      <c r="BK30" s="142"/>
      <c r="BL30" s="142"/>
      <c r="BM30" s="142"/>
      <c r="BN30" s="143"/>
    </row>
    <row r="31" spans="1:75" ht="17.25" customHeight="1">
      <c r="A31" s="106"/>
      <c r="B31" s="157"/>
      <c r="C31" s="158"/>
      <c r="D31" s="158"/>
      <c r="E31" s="158"/>
      <c r="F31" s="159"/>
      <c r="G31" s="163"/>
      <c r="H31" s="164"/>
      <c r="I31" s="164"/>
      <c r="J31" s="164"/>
      <c r="K31" s="164"/>
      <c r="L31" s="164"/>
      <c r="M31" s="164"/>
      <c r="N31" s="164"/>
      <c r="O31" s="164"/>
      <c r="P31" s="164"/>
      <c r="Q31" s="164"/>
      <c r="R31" s="164"/>
      <c r="S31" s="165"/>
      <c r="T31" s="168"/>
      <c r="U31" s="169"/>
      <c r="V31" s="169"/>
      <c r="W31" s="169"/>
      <c r="X31" s="169"/>
      <c r="Y31" s="169"/>
      <c r="Z31" s="169"/>
      <c r="AA31" s="169"/>
      <c r="AB31" s="169"/>
      <c r="AC31" s="169"/>
      <c r="AD31" s="169"/>
      <c r="AE31" s="147"/>
      <c r="AF31" s="148"/>
      <c r="AG31" s="148"/>
      <c r="AH31" s="148"/>
      <c r="AI31" s="148"/>
      <c r="AJ31" s="148"/>
      <c r="AK31" s="27" t="s">
        <v>47</v>
      </c>
      <c r="AL31" s="149" t="s">
        <v>67</v>
      </c>
      <c r="AM31" s="150"/>
      <c r="AN31" s="150"/>
      <c r="AO31" s="150"/>
      <c r="AP31" s="150"/>
      <c r="AQ31" s="151" t="s">
        <v>58</v>
      </c>
      <c r="AR31" s="151"/>
      <c r="AS31" s="151"/>
      <c r="AT31" s="23" t="s">
        <v>39</v>
      </c>
      <c r="AU31" s="152" t="s">
        <v>58</v>
      </c>
      <c r="AV31" s="152"/>
      <c r="AW31" s="153"/>
      <c r="AX31" s="144"/>
      <c r="AY31" s="145"/>
      <c r="AZ31" s="145"/>
      <c r="BA31" s="145"/>
      <c r="BB31" s="145"/>
      <c r="BC31" s="145"/>
      <c r="BD31" s="145"/>
      <c r="BE31" s="145"/>
      <c r="BF31" s="145"/>
      <c r="BG31" s="145"/>
      <c r="BH31" s="145"/>
      <c r="BI31" s="145"/>
      <c r="BJ31" s="145"/>
      <c r="BK31" s="145"/>
      <c r="BL31" s="145"/>
      <c r="BM31" s="145"/>
      <c r="BN31" s="146"/>
    </row>
    <row r="32" spans="1:75" ht="6.75" customHeight="1">
      <c r="BH32" s="63"/>
      <c r="BO32" s="63"/>
      <c r="BP32" s="63"/>
      <c r="BQ32" s="63"/>
      <c r="BR32" s="63"/>
      <c r="BS32" s="63"/>
      <c r="BT32" s="63"/>
      <c r="BU32" s="63"/>
      <c r="BV32" s="63"/>
      <c r="BW32" s="63"/>
    </row>
    <row r="33" spans="1:66" ht="17.25" customHeight="1">
      <c r="A33" s="132" t="s">
        <v>65</v>
      </c>
      <c r="B33" s="133"/>
      <c r="C33" s="133"/>
      <c r="D33" s="133"/>
      <c r="E33" s="133"/>
      <c r="F33" s="134"/>
      <c r="G33" s="21" t="s">
        <v>18</v>
      </c>
      <c r="H33" s="425" t="s">
        <v>111</v>
      </c>
      <c r="I33" s="425"/>
      <c r="J33" s="425"/>
      <c r="K33" s="425"/>
      <c r="L33" s="425"/>
      <c r="M33" s="425"/>
      <c r="N33" s="425"/>
      <c r="O33" s="20" t="s">
        <v>14</v>
      </c>
      <c r="P33" s="425" t="s">
        <v>112</v>
      </c>
      <c r="Q33" s="425"/>
      <c r="R33" s="425"/>
      <c r="S33" s="425"/>
      <c r="T33" s="425"/>
      <c r="U33" s="425"/>
      <c r="V33" s="425"/>
      <c r="W33" s="19" t="s">
        <v>13</v>
      </c>
      <c r="X33" s="425" t="s">
        <v>104</v>
      </c>
      <c r="Y33" s="425"/>
      <c r="Z33" s="425"/>
      <c r="AA33" s="425"/>
      <c r="AB33" s="425"/>
      <c r="AC33" s="425"/>
      <c r="AD33" s="18" t="s">
        <v>12</v>
      </c>
      <c r="AE33" s="20" t="s">
        <v>16</v>
      </c>
      <c r="AF33" s="129"/>
      <c r="AG33" s="129"/>
      <c r="AH33" s="129"/>
      <c r="AI33" s="129"/>
      <c r="AJ33" s="129"/>
      <c r="AK33" s="129"/>
      <c r="AL33" s="129"/>
      <c r="AM33" s="20" t="s">
        <v>14</v>
      </c>
      <c r="AN33" s="129"/>
      <c r="AO33" s="129"/>
      <c r="AP33" s="129"/>
      <c r="AQ33" s="129"/>
      <c r="AR33" s="129"/>
      <c r="AS33" s="129"/>
      <c r="AT33" s="129"/>
      <c r="AU33" s="19" t="s">
        <v>13</v>
      </c>
      <c r="AV33" s="129"/>
      <c r="AW33" s="129"/>
      <c r="AX33" s="129"/>
      <c r="AY33" s="129"/>
      <c r="AZ33" s="129"/>
      <c r="BA33" s="129"/>
      <c r="BB33" s="18" t="s">
        <v>12</v>
      </c>
      <c r="BC33" s="10"/>
      <c r="BD33" s="10"/>
      <c r="BE33" s="130" t="s">
        <v>11</v>
      </c>
      <c r="BF33" s="130"/>
      <c r="BG33" s="130"/>
      <c r="BH33" s="130"/>
      <c r="BI33" s="130"/>
      <c r="BJ33" s="10"/>
      <c r="BK33" s="10"/>
      <c r="BL33" s="10"/>
      <c r="BM33" s="10"/>
      <c r="BN33" s="9"/>
    </row>
    <row r="34" spans="1:66" ht="17.25" customHeight="1">
      <c r="A34" s="135"/>
      <c r="B34" s="136"/>
      <c r="C34" s="136"/>
      <c r="D34" s="136"/>
      <c r="E34" s="136"/>
      <c r="F34" s="137"/>
      <c r="G34" s="17" t="s">
        <v>17</v>
      </c>
      <c r="H34" s="424" t="s">
        <v>112</v>
      </c>
      <c r="I34" s="424"/>
      <c r="J34" s="424"/>
      <c r="K34" s="424"/>
      <c r="L34" s="424"/>
      <c r="M34" s="424"/>
      <c r="N34" s="424"/>
      <c r="O34" s="16" t="s">
        <v>14</v>
      </c>
      <c r="P34" s="424" t="s">
        <v>113</v>
      </c>
      <c r="Q34" s="424"/>
      <c r="R34" s="424"/>
      <c r="S34" s="424"/>
      <c r="T34" s="424"/>
      <c r="U34" s="424"/>
      <c r="V34" s="424"/>
      <c r="W34" s="15" t="s">
        <v>13</v>
      </c>
      <c r="X34" s="424" t="s">
        <v>114</v>
      </c>
      <c r="Y34" s="424"/>
      <c r="Z34" s="424"/>
      <c r="AA34" s="424"/>
      <c r="AB34" s="424"/>
      <c r="AC34" s="424"/>
      <c r="AD34" s="14" t="s">
        <v>12</v>
      </c>
      <c r="AE34" s="16" t="s">
        <v>15</v>
      </c>
      <c r="AF34" s="131"/>
      <c r="AG34" s="131"/>
      <c r="AH34" s="131"/>
      <c r="AI34" s="131"/>
      <c r="AJ34" s="131"/>
      <c r="AK34" s="131"/>
      <c r="AL34" s="131"/>
      <c r="AM34" s="16" t="s">
        <v>14</v>
      </c>
      <c r="AN34" s="131"/>
      <c r="AO34" s="131"/>
      <c r="AP34" s="131"/>
      <c r="AQ34" s="131"/>
      <c r="AR34" s="131"/>
      <c r="AS34" s="131"/>
      <c r="AT34" s="131"/>
      <c r="AU34" s="15" t="s">
        <v>13</v>
      </c>
      <c r="AV34" s="131"/>
      <c r="AW34" s="131"/>
      <c r="AX34" s="131"/>
      <c r="AY34" s="131"/>
      <c r="AZ34" s="131"/>
      <c r="BA34" s="131"/>
      <c r="BB34" s="14" t="s">
        <v>12</v>
      </c>
      <c r="BC34" s="8" t="s">
        <v>46</v>
      </c>
      <c r="BD34" s="4"/>
      <c r="BE34" s="4"/>
      <c r="BF34" s="4"/>
      <c r="BG34" s="4"/>
      <c r="BH34" s="4"/>
      <c r="BI34" s="4"/>
      <c r="BJ34" s="4"/>
      <c r="BK34" s="4"/>
      <c r="BL34" s="4"/>
      <c r="BM34" s="4"/>
      <c r="BN34" s="11"/>
    </row>
    <row r="35" spans="1:66" ht="16.5" customHeight="1">
      <c r="P35" s="3"/>
      <c r="BC35" s="122" t="s">
        <v>61</v>
      </c>
      <c r="BD35" s="122"/>
      <c r="BE35" s="122"/>
      <c r="BF35" s="122"/>
      <c r="BG35" s="122"/>
      <c r="BH35" s="122"/>
      <c r="BI35" s="122"/>
      <c r="BJ35" s="122"/>
      <c r="BK35" s="122"/>
      <c r="BL35" s="122"/>
      <c r="BM35" s="122"/>
      <c r="BN35" s="122"/>
    </row>
    <row r="36" spans="1:66" ht="6.75" customHeight="1">
      <c r="P36" s="3"/>
      <c r="BH36" s="63"/>
    </row>
    <row r="37" spans="1:66" ht="12.75" customHeight="1">
      <c r="A37" s="123" t="s">
        <v>68</v>
      </c>
      <c r="B37" s="123"/>
      <c r="C37" s="123"/>
      <c r="D37" s="123"/>
      <c r="E37" s="123"/>
      <c r="F37" s="124" t="s">
        <v>45</v>
      </c>
      <c r="G37" s="124"/>
      <c r="H37" s="124"/>
      <c r="I37" s="124"/>
      <c r="J37" s="124"/>
      <c r="K37" s="124"/>
      <c r="P37" s="3"/>
      <c r="BH37" s="63"/>
    </row>
    <row r="38" spans="1:66" ht="12.75" customHeight="1">
      <c r="A38" s="123"/>
      <c r="B38" s="123"/>
      <c r="C38" s="123"/>
      <c r="D38" s="123"/>
      <c r="E38" s="123"/>
      <c r="F38" s="124"/>
      <c r="G38" s="124"/>
      <c r="H38" s="124"/>
      <c r="I38" s="124"/>
      <c r="J38" s="124"/>
      <c r="K38" s="124"/>
      <c r="P38" s="3"/>
      <c r="BH38" s="63"/>
    </row>
    <row r="39" spans="1:66" ht="6.75" customHeight="1">
      <c r="P39" s="3"/>
      <c r="BH39" s="63"/>
    </row>
    <row r="40" spans="1:66" ht="18.75" customHeight="1">
      <c r="A40" s="100" t="s">
        <v>25</v>
      </c>
      <c r="B40" s="101"/>
      <c r="C40" s="101"/>
      <c r="D40" s="101"/>
      <c r="E40" s="101"/>
      <c r="F40" s="102"/>
      <c r="G40" s="125" t="s">
        <v>24</v>
      </c>
      <c r="H40" s="126"/>
      <c r="I40" s="126"/>
      <c r="J40" s="126"/>
      <c r="K40" s="126"/>
      <c r="L40" s="126"/>
      <c r="M40" s="126"/>
      <c r="N40" s="126"/>
      <c r="O40" s="426" t="s">
        <v>115</v>
      </c>
      <c r="P40" s="426"/>
      <c r="Q40" s="426"/>
      <c r="R40" s="426"/>
      <c r="S40" s="426"/>
      <c r="T40" s="426"/>
      <c r="U40" s="426"/>
      <c r="V40" s="426"/>
      <c r="W40" s="426"/>
      <c r="X40" s="426"/>
      <c r="Y40" s="426"/>
      <c r="Z40" s="426"/>
      <c r="AA40" s="426"/>
      <c r="AB40" s="426"/>
      <c r="AC40" s="426"/>
      <c r="AD40" s="426"/>
      <c r="AE40" s="426"/>
      <c r="AF40" s="426"/>
      <c r="AG40" s="427"/>
      <c r="BH40" s="63"/>
    </row>
    <row r="41" spans="1:66" ht="18.75" customHeight="1">
      <c r="A41" s="109"/>
      <c r="B41" s="110"/>
      <c r="C41" s="110"/>
      <c r="D41" s="110"/>
      <c r="E41" s="110"/>
      <c r="F41" s="111"/>
      <c r="G41" s="114" t="str">
        <f>IF(OR(O40="基盤研究費",O40="自己負担（精算なし）",O40=""),"",IF(O40="大学運営経費","予算名称",IF(COUNTIF(O40,"*科研費*"),"種目",IF(O40="先方負担","負担種別（全額/一部）",IF(O40="その他","詳細","資金(ﾌﾟﾛｼﾞｪｸﾄ)名称")))))</f>
        <v>予算名称</v>
      </c>
      <c r="H41" s="115"/>
      <c r="I41" s="115"/>
      <c r="J41" s="115"/>
      <c r="K41" s="115"/>
      <c r="L41" s="115"/>
      <c r="M41" s="115"/>
      <c r="N41" s="115"/>
      <c r="O41" s="428" t="s">
        <v>116</v>
      </c>
      <c r="P41" s="428"/>
      <c r="Q41" s="428"/>
      <c r="R41" s="428"/>
      <c r="S41" s="428"/>
      <c r="T41" s="428"/>
      <c r="U41" s="428"/>
      <c r="V41" s="428"/>
      <c r="W41" s="428"/>
      <c r="X41" s="428"/>
      <c r="Y41" s="428"/>
      <c r="Z41" s="428"/>
      <c r="AA41" s="428"/>
      <c r="AB41" s="428"/>
      <c r="AC41" s="428"/>
      <c r="AD41" s="428"/>
      <c r="AE41" s="428"/>
      <c r="AF41" s="428"/>
      <c r="AG41" s="429"/>
      <c r="BH41" s="63"/>
    </row>
    <row r="42" spans="1:66" ht="17.25" customHeight="1">
      <c r="A42" s="109"/>
      <c r="B42" s="110"/>
      <c r="C42" s="110"/>
      <c r="D42" s="110"/>
      <c r="E42" s="110"/>
      <c r="F42" s="111"/>
      <c r="G42" s="114" t="str">
        <f>+IF(OR(O40="基盤研究費",O40="大学運営経費",O40="自己負担（精算なし）",O40="その他",O40=""),"",IF(O40="先方負担","先方負担先名",IF(COUNTIF(O40,"*科研費*"),"研究代表者名","経費区分（直接/間接）")))</f>
        <v/>
      </c>
      <c r="H42" s="115"/>
      <c r="I42" s="115"/>
      <c r="J42" s="115"/>
      <c r="K42" s="115"/>
      <c r="L42" s="115"/>
      <c r="M42" s="115"/>
      <c r="N42" s="115"/>
      <c r="O42" s="116"/>
      <c r="P42" s="116"/>
      <c r="Q42" s="116"/>
      <c r="R42" s="116"/>
      <c r="S42" s="116"/>
      <c r="T42" s="116"/>
      <c r="U42" s="116"/>
      <c r="V42" s="116"/>
      <c r="W42" s="116"/>
      <c r="X42" s="116"/>
      <c r="Y42" s="116"/>
      <c r="Z42" s="116"/>
      <c r="AA42" s="116"/>
      <c r="AB42" s="116"/>
      <c r="AC42" s="116"/>
      <c r="AD42" s="116"/>
      <c r="AE42" s="116"/>
      <c r="AF42" s="116"/>
      <c r="AG42" s="117"/>
      <c r="BH42" s="63"/>
    </row>
    <row r="43" spans="1:66" ht="17.25" customHeight="1">
      <c r="A43" s="109"/>
      <c r="B43" s="110"/>
      <c r="C43" s="110"/>
      <c r="D43" s="110"/>
      <c r="E43" s="110"/>
      <c r="F43" s="111"/>
      <c r="G43" s="114" t="str">
        <f>+IF(OR(O40="基盤研究費",O40="大学運営経費",O40="自己負担（精算なし）",O40="その他",O40=""),"",IF(O40="先方負担","先方負担内容",IF(COUNTIF(O40,"*科研費*"),"所管（ﾌﾟﾛｼﾞｪｸﾄ）名称","ﾌﾟﾛｼﾞｪｸﾄNo.(ｺｰﾄﾞ)")))</f>
        <v/>
      </c>
      <c r="H43" s="115"/>
      <c r="I43" s="115"/>
      <c r="J43" s="115"/>
      <c r="K43" s="115"/>
      <c r="L43" s="115"/>
      <c r="M43" s="115"/>
      <c r="N43" s="115"/>
      <c r="O43" s="116"/>
      <c r="P43" s="116"/>
      <c r="Q43" s="116"/>
      <c r="R43" s="116"/>
      <c r="S43" s="116"/>
      <c r="T43" s="116"/>
      <c r="U43" s="116"/>
      <c r="V43" s="116"/>
      <c r="W43" s="116"/>
      <c r="X43" s="116"/>
      <c r="Y43" s="116"/>
      <c r="Z43" s="116"/>
      <c r="AA43" s="116"/>
      <c r="AB43" s="116"/>
      <c r="AC43" s="116"/>
      <c r="AD43" s="116"/>
      <c r="AE43" s="116"/>
      <c r="AF43" s="116"/>
      <c r="AG43" s="117"/>
      <c r="BH43" s="63"/>
    </row>
    <row r="44" spans="1:66" ht="17.25" customHeight="1">
      <c r="A44" s="109"/>
      <c r="B44" s="110"/>
      <c r="C44" s="110"/>
      <c r="D44" s="110"/>
      <c r="E44" s="110"/>
      <c r="F44" s="111"/>
      <c r="G44" s="114" t="str">
        <f>IF(COUNTIF(O40,"*科研費*"),"ﾌﾟﾛｼﾞｪｸﾄNo.(ｺｰﾄﾞ)","")</f>
        <v/>
      </c>
      <c r="H44" s="115"/>
      <c r="I44" s="115"/>
      <c r="J44" s="115"/>
      <c r="K44" s="115"/>
      <c r="L44" s="115"/>
      <c r="M44" s="115"/>
      <c r="N44" s="115"/>
      <c r="O44" s="116"/>
      <c r="P44" s="116"/>
      <c r="Q44" s="116"/>
      <c r="R44" s="116"/>
      <c r="S44" s="116"/>
      <c r="T44" s="116"/>
      <c r="U44" s="116"/>
      <c r="V44" s="116"/>
      <c r="W44" s="116"/>
      <c r="X44" s="116"/>
      <c r="Y44" s="116"/>
      <c r="Z44" s="116"/>
      <c r="AA44" s="116"/>
      <c r="AB44" s="116"/>
      <c r="AC44" s="116"/>
      <c r="AD44" s="116"/>
      <c r="AE44" s="116"/>
      <c r="AF44" s="116"/>
      <c r="AG44" s="117"/>
      <c r="BH44" s="63"/>
    </row>
    <row r="45" spans="1:66" ht="17.25" customHeight="1">
      <c r="A45" s="103"/>
      <c r="B45" s="104"/>
      <c r="C45" s="104"/>
      <c r="D45" s="104"/>
      <c r="E45" s="104"/>
      <c r="F45" s="105"/>
      <c r="G45" s="118" t="s">
        <v>22</v>
      </c>
      <c r="H45" s="119"/>
      <c r="I45" s="119"/>
      <c r="J45" s="119"/>
      <c r="K45" s="119"/>
      <c r="L45" s="119"/>
      <c r="M45" s="119"/>
      <c r="N45" s="119"/>
      <c r="O45" s="120"/>
      <c r="P45" s="120"/>
      <c r="Q45" s="120"/>
      <c r="R45" s="120"/>
      <c r="S45" s="120"/>
      <c r="T45" s="120"/>
      <c r="U45" s="120"/>
      <c r="V45" s="120"/>
      <c r="W45" s="120"/>
      <c r="X45" s="120"/>
      <c r="Y45" s="120"/>
      <c r="Z45" s="120"/>
      <c r="AA45" s="120"/>
      <c r="AB45" s="120"/>
      <c r="AC45" s="120"/>
      <c r="AD45" s="120"/>
      <c r="AE45" s="120"/>
      <c r="AF45" s="120"/>
      <c r="AG45" s="121"/>
      <c r="BH45" s="63"/>
    </row>
    <row r="46" spans="1:66" ht="17.25" customHeight="1">
      <c r="A46" s="100" t="s">
        <v>21</v>
      </c>
      <c r="B46" s="101"/>
      <c r="C46" s="101"/>
      <c r="D46" s="101"/>
      <c r="E46" s="101"/>
      <c r="F46" s="102"/>
      <c r="G46" s="67"/>
      <c r="H46" s="67"/>
      <c r="I46" s="89" t="s">
        <v>29</v>
      </c>
      <c r="J46" s="89"/>
      <c r="K46" s="89"/>
      <c r="L46" s="89"/>
      <c r="M46" s="89"/>
      <c r="N46" s="89"/>
      <c r="O46" s="67"/>
      <c r="P46" s="67"/>
      <c r="Q46" s="89" t="s">
        <v>28</v>
      </c>
      <c r="R46" s="89"/>
      <c r="S46" s="89"/>
      <c r="T46" s="89"/>
      <c r="U46" s="89"/>
      <c r="V46" s="89"/>
      <c r="W46" s="67"/>
      <c r="X46" s="67"/>
      <c r="Y46" s="67"/>
      <c r="Z46" s="67"/>
      <c r="AA46" s="67"/>
      <c r="AB46" s="67"/>
      <c r="AC46" s="67"/>
      <c r="AD46" s="67"/>
      <c r="AE46" s="67"/>
      <c r="AF46" s="64"/>
      <c r="AG46" s="65"/>
      <c r="BH46" s="63"/>
    </row>
    <row r="47" spans="1:66" ht="17.25" customHeight="1">
      <c r="A47" s="109"/>
      <c r="B47" s="110"/>
      <c r="C47" s="110"/>
      <c r="D47" s="110"/>
      <c r="E47" s="110"/>
      <c r="F47" s="111"/>
      <c r="G47" s="112"/>
      <c r="H47" s="108"/>
      <c r="I47" s="113" t="s">
        <v>36</v>
      </c>
      <c r="J47" s="113"/>
      <c r="K47" s="113"/>
      <c r="L47" s="113"/>
      <c r="M47" s="113"/>
      <c r="N47" s="113"/>
      <c r="O47" s="108"/>
      <c r="P47" s="108"/>
      <c r="Q47" s="113" t="s">
        <v>35</v>
      </c>
      <c r="R47" s="113"/>
      <c r="S47" s="113"/>
      <c r="T47" s="113"/>
      <c r="U47" s="113"/>
      <c r="V47" s="113"/>
      <c r="W47" s="108"/>
      <c r="X47" s="108"/>
      <c r="Y47" s="70" t="s">
        <v>34</v>
      </c>
      <c r="Z47" s="70"/>
      <c r="AA47" s="70"/>
      <c r="AB47" s="70"/>
      <c r="AC47" s="70"/>
      <c r="AD47" s="70"/>
      <c r="AE47" s="70"/>
      <c r="AF47" s="34"/>
      <c r="AG47" s="35"/>
      <c r="BH47" s="63"/>
    </row>
    <row r="48" spans="1:66" ht="17.25" customHeight="1">
      <c r="A48" s="103"/>
      <c r="B48" s="104"/>
      <c r="C48" s="104"/>
      <c r="D48" s="104"/>
      <c r="E48" s="104"/>
      <c r="F48" s="105"/>
      <c r="G48" s="95"/>
      <c r="H48" s="96"/>
      <c r="I48" s="91" t="s">
        <v>7</v>
      </c>
      <c r="J48" s="91"/>
      <c r="K48" s="91"/>
      <c r="L48" s="91"/>
      <c r="M48" s="91"/>
      <c r="N48" s="91"/>
      <c r="O48" s="96"/>
      <c r="P48" s="96"/>
      <c r="Q48" s="91" t="s">
        <v>33</v>
      </c>
      <c r="R48" s="91"/>
      <c r="S48" s="91"/>
      <c r="T48" s="91"/>
      <c r="U48" s="91"/>
      <c r="V48" s="91"/>
      <c r="W48" s="96"/>
      <c r="X48" s="96"/>
      <c r="Y48" s="68" t="s">
        <v>32</v>
      </c>
      <c r="Z48" s="68"/>
      <c r="AA48" s="68"/>
      <c r="AB48" s="68"/>
      <c r="AC48" s="68"/>
      <c r="AD48" s="68"/>
      <c r="AE48" s="68"/>
      <c r="AF48" s="68"/>
      <c r="AG48" s="69"/>
      <c r="BH48" s="63"/>
    </row>
    <row r="49" spans="1:75" ht="17.25" customHeight="1">
      <c r="A49" s="100" t="s">
        <v>44</v>
      </c>
      <c r="B49" s="101"/>
      <c r="C49" s="101"/>
      <c r="D49" s="101"/>
      <c r="E49" s="101"/>
      <c r="F49" s="102"/>
      <c r="G49" s="236" t="s">
        <v>117</v>
      </c>
      <c r="H49" s="89"/>
      <c r="I49" s="89"/>
      <c r="J49" s="89"/>
      <c r="K49" s="89"/>
      <c r="L49" s="89"/>
      <c r="M49" s="89"/>
      <c r="N49" s="89"/>
      <c r="O49" s="89"/>
      <c r="P49" s="89"/>
      <c r="Q49" s="89"/>
      <c r="R49" s="89"/>
      <c r="S49" s="89"/>
      <c r="T49" s="89"/>
      <c r="U49" s="89"/>
      <c r="V49" s="89"/>
      <c r="W49" s="89"/>
      <c r="X49" s="89"/>
      <c r="Y49" s="89"/>
      <c r="Z49" s="89"/>
      <c r="AA49" s="89"/>
      <c r="AB49" s="89"/>
      <c r="AC49" s="89"/>
      <c r="AD49" s="89"/>
      <c r="AE49" s="89"/>
      <c r="AF49" s="89"/>
      <c r="AG49" s="90"/>
      <c r="BH49" s="63"/>
    </row>
    <row r="50" spans="1:75" ht="17.25" customHeight="1">
      <c r="A50" s="103"/>
      <c r="B50" s="104"/>
      <c r="C50" s="104"/>
      <c r="D50" s="104"/>
      <c r="E50" s="104"/>
      <c r="F50" s="105"/>
      <c r="G50" s="430"/>
      <c r="H50" s="91"/>
      <c r="I50" s="91"/>
      <c r="J50" s="91"/>
      <c r="K50" s="91"/>
      <c r="L50" s="91"/>
      <c r="M50" s="91"/>
      <c r="N50" s="91"/>
      <c r="O50" s="91"/>
      <c r="P50" s="91"/>
      <c r="Q50" s="91"/>
      <c r="R50" s="91"/>
      <c r="S50" s="91"/>
      <c r="T50" s="91"/>
      <c r="U50" s="91"/>
      <c r="V50" s="91"/>
      <c r="W50" s="91"/>
      <c r="X50" s="91"/>
      <c r="Y50" s="91"/>
      <c r="Z50" s="91"/>
      <c r="AA50" s="91"/>
      <c r="AB50" s="91"/>
      <c r="AC50" s="91"/>
      <c r="AD50" s="91"/>
      <c r="AE50" s="91"/>
      <c r="AF50" s="91"/>
      <c r="AG50" s="92"/>
      <c r="BH50" s="63"/>
    </row>
    <row r="51" spans="1:75" ht="17.25" customHeight="1">
      <c r="A51" s="100" t="s">
        <v>70</v>
      </c>
      <c r="B51" s="101"/>
      <c r="C51" s="101"/>
      <c r="D51" s="101"/>
      <c r="E51" s="101"/>
      <c r="F51" s="102"/>
      <c r="G51" s="236" t="s">
        <v>118</v>
      </c>
      <c r="H51" s="89"/>
      <c r="I51" s="89"/>
      <c r="J51" s="89"/>
      <c r="K51" s="89"/>
      <c r="L51" s="89"/>
      <c r="M51" s="89"/>
      <c r="N51" s="89"/>
      <c r="O51" s="89"/>
      <c r="P51" s="89"/>
      <c r="Q51" s="89"/>
      <c r="R51" s="89"/>
      <c r="S51" s="89"/>
      <c r="T51" s="89"/>
      <c r="U51" s="89"/>
      <c r="V51" s="89"/>
      <c r="W51" s="89"/>
      <c r="X51" s="89"/>
      <c r="Y51" s="89"/>
      <c r="Z51" s="89"/>
      <c r="AA51" s="89"/>
      <c r="AB51" s="89"/>
      <c r="AC51" s="89"/>
      <c r="AD51" s="89"/>
      <c r="AE51" s="89"/>
      <c r="AF51" s="89"/>
      <c r="AG51" s="90"/>
      <c r="BH51" s="63"/>
    </row>
    <row r="52" spans="1:75" ht="17.25" customHeight="1">
      <c r="A52" s="103"/>
      <c r="B52" s="104"/>
      <c r="C52" s="104"/>
      <c r="D52" s="104"/>
      <c r="E52" s="104"/>
      <c r="F52" s="105"/>
      <c r="G52" s="430"/>
      <c r="H52" s="91"/>
      <c r="I52" s="91"/>
      <c r="J52" s="91"/>
      <c r="K52" s="91"/>
      <c r="L52" s="91"/>
      <c r="M52" s="91"/>
      <c r="N52" s="91"/>
      <c r="O52" s="91"/>
      <c r="P52" s="91"/>
      <c r="Q52" s="91"/>
      <c r="R52" s="91"/>
      <c r="S52" s="91"/>
      <c r="T52" s="91"/>
      <c r="U52" s="91"/>
      <c r="V52" s="91"/>
      <c r="W52" s="91"/>
      <c r="X52" s="91"/>
      <c r="Y52" s="91"/>
      <c r="Z52" s="91"/>
      <c r="AA52" s="91"/>
      <c r="AB52" s="91"/>
      <c r="AC52" s="91"/>
      <c r="AD52" s="91"/>
      <c r="AE52" s="91"/>
      <c r="AF52" s="91"/>
      <c r="AG52" s="92"/>
      <c r="BH52" s="63"/>
    </row>
    <row r="53" spans="1:75" ht="17.25" customHeight="1">
      <c r="A53" s="106" t="s">
        <v>56</v>
      </c>
      <c r="B53" s="106"/>
      <c r="C53" s="106"/>
      <c r="D53" s="106"/>
      <c r="E53" s="106"/>
      <c r="F53" s="106"/>
      <c r="G53" s="107"/>
      <c r="H53" s="107"/>
      <c r="I53" s="107"/>
      <c r="J53" s="107"/>
      <c r="K53" s="107"/>
      <c r="L53" s="107"/>
      <c r="M53" s="107"/>
      <c r="N53" s="107"/>
      <c r="O53" s="107"/>
      <c r="P53" s="107"/>
      <c r="Q53" s="107"/>
      <c r="R53" s="107"/>
      <c r="S53" s="107"/>
      <c r="T53" s="107"/>
      <c r="U53" s="107"/>
      <c r="V53" s="107"/>
      <c r="W53" s="107"/>
      <c r="X53" s="107"/>
      <c r="Y53" s="107"/>
      <c r="Z53" s="107"/>
      <c r="AA53" s="107"/>
      <c r="AB53" s="107"/>
      <c r="AC53" s="107"/>
      <c r="AD53" s="107"/>
      <c r="AE53" s="107"/>
      <c r="AF53" s="107"/>
      <c r="AG53" s="107"/>
      <c r="BH53" s="63"/>
      <c r="BO53" s="63"/>
      <c r="BP53" s="63"/>
      <c r="BQ53" s="63"/>
      <c r="BR53" s="63"/>
      <c r="BS53" s="63"/>
      <c r="BT53" s="63"/>
      <c r="BU53" s="63"/>
      <c r="BV53" s="63"/>
      <c r="BW53" s="63"/>
    </row>
    <row r="54" spans="1:75" ht="17.25" customHeight="1">
      <c r="A54" s="106"/>
      <c r="B54" s="106"/>
      <c r="C54" s="106"/>
      <c r="D54" s="106"/>
      <c r="E54" s="106"/>
      <c r="F54" s="106"/>
      <c r="G54" s="107"/>
      <c r="H54" s="107"/>
      <c r="I54" s="107"/>
      <c r="J54" s="107"/>
      <c r="K54" s="107"/>
      <c r="L54" s="107"/>
      <c r="M54" s="107"/>
      <c r="N54" s="107"/>
      <c r="O54" s="107"/>
      <c r="P54" s="107"/>
      <c r="Q54" s="107"/>
      <c r="R54" s="107"/>
      <c r="S54" s="107"/>
      <c r="T54" s="107"/>
      <c r="U54" s="107"/>
      <c r="V54" s="107"/>
      <c r="W54" s="107"/>
      <c r="X54" s="107"/>
      <c r="Y54" s="107"/>
      <c r="Z54" s="107"/>
      <c r="AA54" s="107"/>
      <c r="AB54" s="107"/>
      <c r="AC54" s="107"/>
      <c r="AD54" s="107"/>
      <c r="AE54" s="107"/>
      <c r="AF54" s="107"/>
      <c r="AG54" s="107"/>
      <c r="BH54" s="63"/>
      <c r="BO54" s="63"/>
      <c r="BP54" s="63"/>
      <c r="BQ54" s="63"/>
      <c r="BR54" s="63"/>
      <c r="BS54" s="63"/>
      <c r="BT54" s="63"/>
      <c r="BU54" s="63"/>
      <c r="BV54" s="63"/>
      <c r="BW54" s="63"/>
    </row>
    <row r="55" spans="1:75" ht="17.25" customHeight="1">
      <c r="A55" s="106"/>
      <c r="B55" s="106"/>
      <c r="C55" s="106"/>
      <c r="D55" s="106"/>
      <c r="E55" s="106"/>
      <c r="F55" s="106"/>
      <c r="G55" s="107"/>
      <c r="H55" s="107"/>
      <c r="I55" s="107"/>
      <c r="J55" s="107"/>
      <c r="K55" s="107"/>
      <c r="L55" s="107"/>
      <c r="M55" s="107"/>
      <c r="N55" s="107"/>
      <c r="O55" s="107"/>
      <c r="P55" s="107"/>
      <c r="Q55" s="107"/>
      <c r="R55" s="107"/>
      <c r="S55" s="107"/>
      <c r="T55" s="107"/>
      <c r="U55" s="107"/>
      <c r="V55" s="107"/>
      <c r="W55" s="107"/>
      <c r="X55" s="107"/>
      <c r="Y55" s="107"/>
      <c r="Z55" s="107"/>
      <c r="AA55" s="107"/>
      <c r="AB55" s="107"/>
      <c r="AC55" s="107"/>
      <c r="AD55" s="107"/>
      <c r="AE55" s="107"/>
      <c r="AF55" s="107"/>
      <c r="AG55" s="107"/>
      <c r="BH55" s="63"/>
      <c r="BO55" s="63"/>
      <c r="BP55" s="63"/>
      <c r="BQ55" s="63"/>
      <c r="BR55" s="63"/>
      <c r="BS55" s="63"/>
      <c r="BT55" s="63"/>
      <c r="BU55" s="63"/>
      <c r="BV55" s="63"/>
      <c r="BW55" s="63"/>
    </row>
    <row r="56" spans="1:75" ht="17.25" customHeight="1">
      <c r="A56" s="106"/>
      <c r="B56" s="106"/>
      <c r="C56" s="106"/>
      <c r="D56" s="106"/>
      <c r="E56" s="106"/>
      <c r="F56" s="106"/>
      <c r="G56" s="107"/>
      <c r="H56" s="107"/>
      <c r="I56" s="107"/>
      <c r="J56" s="107"/>
      <c r="K56" s="107"/>
      <c r="L56" s="107"/>
      <c r="M56" s="107"/>
      <c r="N56" s="107"/>
      <c r="O56" s="107"/>
      <c r="P56" s="107"/>
      <c r="Q56" s="107"/>
      <c r="R56" s="107"/>
      <c r="S56" s="107"/>
      <c r="T56" s="107"/>
      <c r="U56" s="107"/>
      <c r="V56" s="107"/>
      <c r="W56" s="107"/>
      <c r="X56" s="107"/>
      <c r="Y56" s="107"/>
      <c r="Z56" s="107"/>
      <c r="AA56" s="107"/>
      <c r="AB56" s="107"/>
      <c r="AC56" s="107"/>
      <c r="AD56" s="107"/>
      <c r="AE56" s="107"/>
      <c r="AF56" s="107"/>
      <c r="AG56" s="107"/>
      <c r="BH56" s="63"/>
      <c r="BO56" s="63"/>
      <c r="BP56" s="63"/>
      <c r="BQ56" s="63"/>
      <c r="BR56" s="63"/>
      <c r="BS56" s="63"/>
      <c r="BT56" s="63"/>
      <c r="BU56" s="63"/>
      <c r="BV56" s="63"/>
      <c r="BW56" s="63"/>
    </row>
    <row r="57" spans="1:75" ht="18" customHeight="1">
      <c r="BH57" s="63"/>
      <c r="BP57" s="63"/>
      <c r="BR57" s="63"/>
      <c r="BT57" s="63"/>
      <c r="BU57" s="63"/>
      <c r="BV57" s="63"/>
      <c r="BW57" s="63"/>
    </row>
    <row r="58" spans="1:75" ht="17.25" customHeight="1">
      <c r="A58" s="2" t="s">
        <v>59</v>
      </c>
      <c r="AT58" s="3"/>
      <c r="BA58" s="3"/>
      <c r="BJ58" s="3"/>
    </row>
    <row r="59" spans="1:75" ht="4.95" customHeight="1">
      <c r="AT59" s="3"/>
      <c r="BA59" s="3"/>
      <c r="BJ59" s="3"/>
    </row>
    <row r="60" spans="1:75" ht="17.25" customHeight="1">
      <c r="A60" s="12" t="s">
        <v>43</v>
      </c>
      <c r="AT60" s="3"/>
      <c r="BA60" s="3"/>
      <c r="BJ60" s="3"/>
    </row>
    <row r="61" spans="1:75" ht="17.25" customHeight="1">
      <c r="A61" s="12" t="s">
        <v>54</v>
      </c>
      <c r="BH61" s="63"/>
      <c r="BO61" s="63"/>
      <c r="BP61" s="63"/>
      <c r="BQ61" s="63"/>
      <c r="BR61" s="63"/>
      <c r="BS61" s="63"/>
      <c r="BT61" s="63"/>
      <c r="BU61" s="63"/>
      <c r="BV61" s="63"/>
      <c r="BW61" s="63"/>
    </row>
    <row r="62" spans="1:75" ht="17.25" customHeight="1">
      <c r="A62" s="12" t="s">
        <v>42</v>
      </c>
      <c r="BH62" s="63"/>
      <c r="BO62" s="63"/>
      <c r="BP62" s="63"/>
      <c r="BQ62" s="63"/>
      <c r="BR62" s="63"/>
      <c r="BS62" s="63"/>
      <c r="BT62" s="63"/>
      <c r="BU62" s="63"/>
      <c r="BV62" s="63"/>
      <c r="BW62" s="63"/>
    </row>
    <row r="63" spans="1:75" s="24" customFormat="1" ht="17.25" customHeight="1">
      <c r="A63" s="24" t="s">
        <v>63</v>
      </c>
      <c r="I63" s="25"/>
      <c r="J63" s="25"/>
      <c r="K63" s="25"/>
      <c r="L63" s="25"/>
      <c r="M63" s="25"/>
      <c r="N63" s="25"/>
      <c r="O63" s="25"/>
      <c r="P63" s="25"/>
      <c r="Q63" s="25"/>
      <c r="R63" s="25"/>
      <c r="AJ63" s="25"/>
      <c r="AK63" s="25"/>
      <c r="AL63" s="25"/>
      <c r="AM63" s="25"/>
      <c r="AN63" s="25"/>
    </row>
    <row r="64" spans="1:75" ht="18.75" customHeight="1">
      <c r="A64" s="2" t="s">
        <v>71</v>
      </c>
      <c r="L64" s="3"/>
      <c r="M64" s="3"/>
      <c r="N64" s="3"/>
      <c r="O64" s="3"/>
      <c r="P64" s="3"/>
      <c r="Q64" s="3"/>
      <c r="AL64" s="3"/>
      <c r="AM64" s="3"/>
    </row>
    <row r="65" spans="1:75" ht="17.25" customHeight="1">
      <c r="A65" s="2" t="s">
        <v>64</v>
      </c>
      <c r="BG65" s="99" t="s">
        <v>62</v>
      </c>
      <c r="BH65" s="99"/>
      <c r="BI65" s="99"/>
      <c r="BJ65" s="99"/>
      <c r="BK65" s="99"/>
      <c r="BL65" s="99"/>
      <c r="BM65" s="99"/>
      <c r="BN65" s="99"/>
    </row>
    <row r="66" spans="1:75" ht="17.25" customHeight="1">
      <c r="BH66" s="63"/>
      <c r="BO66" s="63"/>
      <c r="BP66" s="63"/>
      <c r="BQ66" s="63"/>
      <c r="BR66" s="63"/>
      <c r="BS66" s="63"/>
      <c r="BT66" s="63"/>
      <c r="BU66" s="63"/>
      <c r="BV66" s="63"/>
      <c r="BW66" s="63"/>
    </row>
    <row r="67" spans="1:75" ht="12.75" customHeight="1"/>
  </sheetData>
  <mergeCells count="156">
    <mergeCell ref="BG65:BN65"/>
    <mergeCell ref="A49:F50"/>
    <mergeCell ref="G49:AG50"/>
    <mergeCell ref="A51:F52"/>
    <mergeCell ref="G51:AG52"/>
    <mergeCell ref="A53:F56"/>
    <mergeCell ref="G53:AG56"/>
    <mergeCell ref="W47:X47"/>
    <mergeCell ref="G48:H48"/>
    <mergeCell ref="I48:N48"/>
    <mergeCell ref="O48:P48"/>
    <mergeCell ref="Q48:V48"/>
    <mergeCell ref="W48:X48"/>
    <mergeCell ref="A46:F48"/>
    <mergeCell ref="I46:N46"/>
    <mergeCell ref="Q46:V46"/>
    <mergeCell ref="G47:H47"/>
    <mergeCell ref="I47:N47"/>
    <mergeCell ref="O47:P47"/>
    <mergeCell ref="Q47:V47"/>
    <mergeCell ref="G43:N43"/>
    <mergeCell ref="O43:AG43"/>
    <mergeCell ref="G44:N44"/>
    <mergeCell ref="O44:AG44"/>
    <mergeCell ref="G45:N45"/>
    <mergeCell ref="O45:AG45"/>
    <mergeCell ref="BC35:BN35"/>
    <mergeCell ref="A37:E38"/>
    <mergeCell ref="F37:K38"/>
    <mergeCell ref="A40:F45"/>
    <mergeCell ref="G40:N40"/>
    <mergeCell ref="O40:AG40"/>
    <mergeCell ref="G41:N41"/>
    <mergeCell ref="O41:AG41"/>
    <mergeCell ref="G42:N42"/>
    <mergeCell ref="O42:AG42"/>
    <mergeCell ref="AV33:BA33"/>
    <mergeCell ref="BE33:BI33"/>
    <mergeCell ref="H34:N34"/>
    <mergeCell ref="P34:V34"/>
    <mergeCell ref="X34:AC34"/>
    <mergeCell ref="AF34:AL34"/>
    <mergeCell ref="AN34:AT34"/>
    <mergeCell ref="AV34:BA34"/>
    <mergeCell ref="A33:F34"/>
    <mergeCell ref="H33:N33"/>
    <mergeCell ref="P33:V33"/>
    <mergeCell ref="X33:AC33"/>
    <mergeCell ref="AF33:AL33"/>
    <mergeCell ref="AN33:AT33"/>
    <mergeCell ref="AL30:AW30"/>
    <mergeCell ref="AX30:BN31"/>
    <mergeCell ref="AE31:AJ31"/>
    <mergeCell ref="AL31:AP31"/>
    <mergeCell ref="AQ31:AS31"/>
    <mergeCell ref="AU31:AW31"/>
    <mergeCell ref="AX28:BN29"/>
    <mergeCell ref="AE29:AJ29"/>
    <mergeCell ref="AL29:AP29"/>
    <mergeCell ref="AQ29:AS29"/>
    <mergeCell ref="AU29:AW29"/>
    <mergeCell ref="AL28:AW28"/>
    <mergeCell ref="A30:A31"/>
    <mergeCell ref="B30:F31"/>
    <mergeCell ref="G30:S31"/>
    <mergeCell ref="T30:AD31"/>
    <mergeCell ref="AE30:AJ30"/>
    <mergeCell ref="A28:A29"/>
    <mergeCell ref="B28:F29"/>
    <mergeCell ref="G28:S29"/>
    <mergeCell ref="T28:AD29"/>
    <mergeCell ref="AE28:AJ28"/>
    <mergeCell ref="AX26:BN27"/>
    <mergeCell ref="AE27:AJ27"/>
    <mergeCell ref="AL27:AP27"/>
    <mergeCell ref="AQ27:AS27"/>
    <mergeCell ref="AU27:AW27"/>
    <mergeCell ref="AX24:BN25"/>
    <mergeCell ref="AE25:AJ25"/>
    <mergeCell ref="AL25:AP25"/>
    <mergeCell ref="AQ25:AS25"/>
    <mergeCell ref="AU25:AW25"/>
    <mergeCell ref="A26:A27"/>
    <mergeCell ref="B26:F27"/>
    <mergeCell ref="G26:S27"/>
    <mergeCell ref="T26:AD27"/>
    <mergeCell ref="AE26:AJ26"/>
    <mergeCell ref="AQ23:AS23"/>
    <mergeCell ref="AU23:AW23"/>
    <mergeCell ref="A24:A25"/>
    <mergeCell ref="B24:F25"/>
    <mergeCell ref="G24:S25"/>
    <mergeCell ref="T24:AD25"/>
    <mergeCell ref="AE24:AJ24"/>
    <mergeCell ref="AL24:AW24"/>
    <mergeCell ref="AL26:AW26"/>
    <mergeCell ref="AX20:BN21"/>
    <mergeCell ref="A22:A23"/>
    <mergeCell ref="B22:F23"/>
    <mergeCell ref="G22:S23"/>
    <mergeCell ref="T22:AD23"/>
    <mergeCell ref="AE22:AJ22"/>
    <mergeCell ref="AL22:AW22"/>
    <mergeCell ref="AX22:BN23"/>
    <mergeCell ref="AE23:AJ23"/>
    <mergeCell ref="AL23:AP23"/>
    <mergeCell ref="A20:A21"/>
    <mergeCell ref="B20:F21"/>
    <mergeCell ref="G20:S21"/>
    <mergeCell ref="T20:AD21"/>
    <mergeCell ref="AE20:AK21"/>
    <mergeCell ref="AL20:AW21"/>
    <mergeCell ref="AN13:BN18"/>
    <mergeCell ref="A15:F16"/>
    <mergeCell ref="G15:O16"/>
    <mergeCell ref="P15:U16"/>
    <mergeCell ref="V15:AE15"/>
    <mergeCell ref="AF15:AG15"/>
    <mergeCell ref="V16:AE16"/>
    <mergeCell ref="AF16:AG16"/>
    <mergeCell ref="A13:F14"/>
    <mergeCell ref="G13:O14"/>
    <mergeCell ref="P13:Q14"/>
    <mergeCell ref="R13:Z14"/>
    <mergeCell ref="AA13:AB14"/>
    <mergeCell ref="AC13:AE14"/>
    <mergeCell ref="A17:F18"/>
    <mergeCell ref="G17:O18"/>
    <mergeCell ref="P17:U18"/>
    <mergeCell ref="V17:AE17"/>
    <mergeCell ref="AF17:AG17"/>
    <mergeCell ref="V18:AE18"/>
    <mergeCell ref="AF18:AG18"/>
    <mergeCell ref="AF13:AG14"/>
    <mergeCell ref="AH13:AM18"/>
    <mergeCell ref="BE6:BN7"/>
    <mergeCell ref="A8:F9"/>
    <mergeCell ref="G8:AG8"/>
    <mergeCell ref="AH8:AM9"/>
    <mergeCell ref="AN8:BN9"/>
    <mergeCell ref="G9:M9"/>
    <mergeCell ref="N9:AG9"/>
    <mergeCell ref="BC1:BF1"/>
    <mergeCell ref="BG1:BJ1"/>
    <mergeCell ref="BK1:BN1"/>
    <mergeCell ref="AR2:AV4"/>
    <mergeCell ref="AY2:BB4"/>
    <mergeCell ref="BC2:BF4"/>
    <mergeCell ref="BG2:BJ4"/>
    <mergeCell ref="BK2:BN4"/>
    <mergeCell ref="A1:E2"/>
    <mergeCell ref="F1:K2"/>
    <mergeCell ref="U1:AO3"/>
    <mergeCell ref="AR1:AV1"/>
    <mergeCell ref="AX1:AX4"/>
    <mergeCell ref="AY1:BB1"/>
  </mergeCells>
  <phoneticPr fontId="3"/>
  <dataValidations count="3">
    <dataValidation type="list" allowBlank="1" showInputMessage="1" showErrorMessage="1" sqref="G15:O18">
      <formula1>"自宅,杉本キャンパス,阿倍野キャンパス,中百舌鳥キャンパス,羽曳野キャンパス,りんくうキャンパス,工業高等専門学校,職務外用務地（兼業）,職務外用務地（私用）"</formula1>
    </dataValidation>
    <dataValidation allowBlank="1" showInputMessage="1" showErrorMessage="1" prompt="日付は「旅行期間開始日」以前の日付を入力してください。" sqref="BE6:BN7"/>
    <dataValidation type="list" allowBlank="1" showInputMessage="1" showErrorMessage="1" sqref="O40:AG40">
      <formula1>"(選択してください),基盤研究費,大学運営経費,科研費（代表者）,科研費（学内分担）,科研費（学外分担）,寄附金,補助金,受託事業,共同研究,受託研究,助成金,科研間接経費,自己負担（精算なし）,先方負担,その他"</formula1>
    </dataValidation>
  </dataValidations>
  <printOptions horizontalCentered="1"/>
  <pageMargins left="0.19685039370078741" right="0.19685039370078741" top="0.39370078740157483" bottom="0.39370078740157483" header="0.11811023622047245" footer="0.11811023622047245"/>
  <pageSetup paperSize="9" scale="95" orientation="landscape" r:id="rId1"/>
  <headerFooter>
    <oddFooter>&amp;L&amp;P</oddFooter>
  </headerFooter>
  <rowBreaks count="1" manualBreakCount="1">
    <brk id="35"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36865" r:id="rId4" name="Check Box 1">
              <controlPr defaultSize="0" autoFill="0" autoLine="0" autoPict="0">
                <anchor moveWithCells="1">
                  <from>
                    <xdr:col>6</xdr:col>
                    <xdr:colOff>45720</xdr:colOff>
                    <xdr:row>44</xdr:row>
                    <xdr:rowOff>228600</xdr:rowOff>
                  </from>
                  <to>
                    <xdr:col>7</xdr:col>
                    <xdr:colOff>121920</xdr:colOff>
                    <xdr:row>46</xdr:row>
                    <xdr:rowOff>22860</xdr:rowOff>
                  </to>
                </anchor>
              </controlPr>
            </control>
          </mc:Choice>
        </mc:AlternateContent>
        <mc:AlternateContent xmlns:mc="http://schemas.openxmlformats.org/markup-compatibility/2006">
          <mc:Choice Requires="x14">
            <control shapeId="36866" r:id="rId5" name="Check Box 2">
              <controlPr defaultSize="0" autoFill="0" autoLine="0" autoPict="0">
                <anchor moveWithCells="1">
                  <from>
                    <xdr:col>14</xdr:col>
                    <xdr:colOff>45720</xdr:colOff>
                    <xdr:row>44</xdr:row>
                    <xdr:rowOff>228600</xdr:rowOff>
                  </from>
                  <to>
                    <xdr:col>15</xdr:col>
                    <xdr:colOff>121920</xdr:colOff>
                    <xdr:row>46</xdr:row>
                    <xdr:rowOff>22860</xdr:rowOff>
                  </to>
                </anchor>
              </controlPr>
            </control>
          </mc:Choice>
        </mc:AlternateContent>
        <mc:AlternateContent xmlns:mc="http://schemas.openxmlformats.org/markup-compatibility/2006">
          <mc:Choice Requires="x14">
            <control shapeId="36867" r:id="rId6" name="Check Box 3">
              <controlPr defaultSize="0" autoFill="0" autoLine="0" autoPict="0">
                <anchor moveWithCells="1">
                  <from>
                    <xdr:col>6</xdr:col>
                    <xdr:colOff>45720</xdr:colOff>
                    <xdr:row>45</xdr:row>
                    <xdr:rowOff>228600</xdr:rowOff>
                  </from>
                  <to>
                    <xdr:col>7</xdr:col>
                    <xdr:colOff>121920</xdr:colOff>
                    <xdr:row>47</xdr:row>
                    <xdr:rowOff>22860</xdr:rowOff>
                  </to>
                </anchor>
              </controlPr>
            </control>
          </mc:Choice>
        </mc:AlternateContent>
        <mc:AlternateContent xmlns:mc="http://schemas.openxmlformats.org/markup-compatibility/2006">
          <mc:Choice Requires="x14">
            <control shapeId="36868" r:id="rId7" name="Check Box 4">
              <controlPr defaultSize="0" autoFill="0" autoLine="0" autoPict="0">
                <anchor moveWithCells="1">
                  <from>
                    <xdr:col>14</xdr:col>
                    <xdr:colOff>45720</xdr:colOff>
                    <xdr:row>45</xdr:row>
                    <xdr:rowOff>228600</xdr:rowOff>
                  </from>
                  <to>
                    <xdr:col>15</xdr:col>
                    <xdr:colOff>121920</xdr:colOff>
                    <xdr:row>47</xdr:row>
                    <xdr:rowOff>22860</xdr:rowOff>
                  </to>
                </anchor>
              </controlPr>
            </control>
          </mc:Choice>
        </mc:AlternateContent>
        <mc:AlternateContent xmlns:mc="http://schemas.openxmlformats.org/markup-compatibility/2006">
          <mc:Choice Requires="x14">
            <control shapeId="36869" r:id="rId8" name="Check Box 5">
              <controlPr defaultSize="0" autoFill="0" autoLine="0" autoPict="0">
                <anchor moveWithCells="1">
                  <from>
                    <xdr:col>22</xdr:col>
                    <xdr:colOff>45720</xdr:colOff>
                    <xdr:row>45</xdr:row>
                    <xdr:rowOff>228600</xdr:rowOff>
                  </from>
                  <to>
                    <xdr:col>23</xdr:col>
                    <xdr:colOff>121920</xdr:colOff>
                    <xdr:row>47</xdr:row>
                    <xdr:rowOff>22860</xdr:rowOff>
                  </to>
                </anchor>
              </controlPr>
            </control>
          </mc:Choice>
        </mc:AlternateContent>
        <mc:AlternateContent xmlns:mc="http://schemas.openxmlformats.org/markup-compatibility/2006">
          <mc:Choice Requires="x14">
            <control shapeId="36870" r:id="rId9" name="Check Box 6">
              <controlPr defaultSize="0" autoFill="0" autoLine="0" autoPict="0">
                <anchor moveWithCells="1">
                  <from>
                    <xdr:col>6</xdr:col>
                    <xdr:colOff>45720</xdr:colOff>
                    <xdr:row>46</xdr:row>
                    <xdr:rowOff>228600</xdr:rowOff>
                  </from>
                  <to>
                    <xdr:col>7</xdr:col>
                    <xdr:colOff>121920</xdr:colOff>
                    <xdr:row>48</xdr:row>
                    <xdr:rowOff>22860</xdr:rowOff>
                  </to>
                </anchor>
              </controlPr>
            </control>
          </mc:Choice>
        </mc:AlternateContent>
        <mc:AlternateContent xmlns:mc="http://schemas.openxmlformats.org/markup-compatibility/2006">
          <mc:Choice Requires="x14">
            <control shapeId="36871" r:id="rId10" name="Check Box 7">
              <controlPr defaultSize="0" autoFill="0" autoLine="0" autoPict="0">
                <anchor moveWithCells="1">
                  <from>
                    <xdr:col>14</xdr:col>
                    <xdr:colOff>45720</xdr:colOff>
                    <xdr:row>46</xdr:row>
                    <xdr:rowOff>228600</xdr:rowOff>
                  </from>
                  <to>
                    <xdr:col>15</xdr:col>
                    <xdr:colOff>121920</xdr:colOff>
                    <xdr:row>48</xdr:row>
                    <xdr:rowOff>22860</xdr:rowOff>
                  </to>
                </anchor>
              </controlPr>
            </control>
          </mc:Choice>
        </mc:AlternateContent>
        <mc:AlternateContent xmlns:mc="http://schemas.openxmlformats.org/markup-compatibility/2006">
          <mc:Choice Requires="x14">
            <control shapeId="36872" r:id="rId11" name="Check Box 8">
              <controlPr defaultSize="0" autoFill="0" autoLine="0" autoPict="0">
                <anchor moveWithCells="1">
                  <from>
                    <xdr:col>22</xdr:col>
                    <xdr:colOff>45720</xdr:colOff>
                    <xdr:row>46</xdr:row>
                    <xdr:rowOff>228600</xdr:rowOff>
                  </from>
                  <to>
                    <xdr:col>23</xdr:col>
                    <xdr:colOff>121920</xdr:colOff>
                    <xdr:row>48</xdr:row>
                    <xdr:rowOff>22860</xdr:rowOff>
                  </to>
                </anchor>
              </controlPr>
            </control>
          </mc:Choice>
        </mc:AlternateContent>
        <mc:AlternateContent xmlns:mc="http://schemas.openxmlformats.org/markup-compatibility/2006">
          <mc:Choice Requires="x14">
            <control shapeId="36873" r:id="rId12" name="Check Box 9">
              <controlPr defaultSize="0" autoFill="0" autoLine="0" autoPict="0">
                <anchor moveWithCells="1">
                  <from>
                    <xdr:col>54</xdr:col>
                    <xdr:colOff>45720</xdr:colOff>
                    <xdr:row>32</xdr:row>
                    <xdr:rowOff>0</xdr:rowOff>
                  </from>
                  <to>
                    <xdr:col>56</xdr:col>
                    <xdr:colOff>30480</xdr:colOff>
                    <xdr:row>33</xdr:row>
                    <xdr:rowOff>22860</xdr:rowOff>
                  </to>
                </anchor>
              </controlPr>
            </control>
          </mc:Choice>
        </mc:AlternateContent>
        <mc:AlternateContent xmlns:mc="http://schemas.openxmlformats.org/markup-compatibility/2006">
          <mc:Choice Requires="x14">
            <control shapeId="36874" r:id="rId13" name="Check Box 10">
              <controlPr defaultSize="0" autoFill="0" autoLine="0" autoPict="0">
                <anchor moveWithCells="1">
                  <from>
                    <xdr:col>6</xdr:col>
                    <xdr:colOff>45720</xdr:colOff>
                    <xdr:row>48</xdr:row>
                    <xdr:rowOff>106680</xdr:rowOff>
                  </from>
                  <to>
                    <xdr:col>7</xdr:col>
                    <xdr:colOff>121920</xdr:colOff>
                    <xdr:row>49</xdr:row>
                    <xdr:rowOff>121920</xdr:rowOff>
                  </to>
                </anchor>
              </controlPr>
            </control>
          </mc:Choice>
        </mc:AlternateContent>
        <mc:AlternateContent xmlns:mc="http://schemas.openxmlformats.org/markup-compatibility/2006">
          <mc:Choice Requires="x14">
            <control shapeId="36875" r:id="rId14" name="Check Box 11">
              <controlPr defaultSize="0" autoFill="0" autoLine="0" autoPict="0">
                <anchor moveWithCells="1">
                  <from>
                    <xdr:col>6</xdr:col>
                    <xdr:colOff>60960</xdr:colOff>
                    <xdr:row>50</xdr:row>
                    <xdr:rowOff>99060</xdr:rowOff>
                  </from>
                  <to>
                    <xdr:col>7</xdr:col>
                    <xdr:colOff>121920</xdr:colOff>
                    <xdr:row>51</xdr:row>
                    <xdr:rowOff>121920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W70"/>
  <sheetViews>
    <sheetView view="pageBreakPreview" zoomScaleNormal="100" zoomScaleSheetLayoutView="100" workbookViewId="0">
      <selection activeCell="AR38" sqref="AR38"/>
    </sheetView>
  </sheetViews>
  <sheetFormatPr defaultColWidth="1.8984375" defaultRowHeight="13.2"/>
  <cols>
    <col min="1" max="1" width="2" style="24" customWidth="1"/>
    <col min="2" max="2" width="2.3984375" style="24" customWidth="1"/>
    <col min="3" max="66" width="2" style="24" customWidth="1"/>
    <col min="67" max="16384" width="1.8984375" style="24"/>
  </cols>
  <sheetData>
    <row r="1" spans="1:66" ht="12.75" customHeight="1">
      <c r="A1" s="123" t="s">
        <v>68</v>
      </c>
      <c r="B1" s="123"/>
      <c r="C1" s="123"/>
      <c r="D1" s="123"/>
      <c r="E1" s="123"/>
      <c r="F1" s="123" t="s">
        <v>45</v>
      </c>
      <c r="G1" s="123"/>
      <c r="H1" s="123"/>
      <c r="I1" s="123"/>
      <c r="J1" s="123"/>
      <c r="K1" s="123"/>
      <c r="M1" s="62"/>
      <c r="N1" s="62"/>
      <c r="O1" s="62"/>
      <c r="R1" s="259" t="s">
        <v>119</v>
      </c>
      <c r="S1" s="259"/>
      <c r="T1" s="259"/>
      <c r="U1" s="259"/>
      <c r="V1" s="259"/>
      <c r="W1" s="259"/>
      <c r="X1" s="259"/>
      <c r="Y1" s="259"/>
      <c r="Z1" s="259"/>
      <c r="AA1" s="259"/>
      <c r="AB1" s="259"/>
      <c r="AC1" s="259"/>
      <c r="AD1" s="259"/>
      <c r="AE1" s="259"/>
      <c r="AF1" s="259"/>
      <c r="AG1" s="259"/>
      <c r="AH1" s="259"/>
      <c r="AI1" s="259"/>
      <c r="AJ1" s="259"/>
      <c r="AK1" s="259"/>
      <c r="AL1" s="259"/>
      <c r="AM1" s="259"/>
      <c r="AN1" s="259"/>
      <c r="AO1" s="259"/>
      <c r="AP1" s="259"/>
      <c r="AQ1" s="260"/>
      <c r="AR1" s="261" t="s">
        <v>9</v>
      </c>
      <c r="AS1" s="262"/>
      <c r="AT1" s="262"/>
      <c r="AU1" s="262"/>
      <c r="AV1" s="263"/>
      <c r="AX1" s="264" t="s">
        <v>38</v>
      </c>
      <c r="AY1" s="138" t="s">
        <v>6</v>
      </c>
      <c r="AZ1" s="139"/>
      <c r="BA1" s="139"/>
      <c r="BB1" s="140"/>
      <c r="BC1" s="267" t="s">
        <v>10</v>
      </c>
      <c r="BD1" s="267"/>
      <c r="BE1" s="267"/>
      <c r="BF1" s="267"/>
      <c r="BG1" s="267" t="s">
        <v>5</v>
      </c>
      <c r="BH1" s="267"/>
      <c r="BI1" s="267"/>
      <c r="BJ1" s="267"/>
      <c r="BK1" s="267" t="s">
        <v>4</v>
      </c>
      <c r="BL1" s="267"/>
      <c r="BM1" s="267"/>
      <c r="BN1" s="267"/>
    </row>
    <row r="2" spans="1:66" ht="12.75" customHeight="1">
      <c r="A2" s="123"/>
      <c r="B2" s="123"/>
      <c r="C2" s="123"/>
      <c r="D2" s="123"/>
      <c r="E2" s="123"/>
      <c r="F2" s="123"/>
      <c r="G2" s="123"/>
      <c r="H2" s="123"/>
      <c r="I2" s="123"/>
      <c r="J2" s="123"/>
      <c r="K2" s="123"/>
      <c r="L2" s="62"/>
      <c r="M2" s="62"/>
      <c r="N2" s="62"/>
      <c r="O2" s="62"/>
      <c r="P2" s="62"/>
      <c r="Q2" s="62"/>
      <c r="R2" s="259"/>
      <c r="S2" s="259"/>
      <c r="T2" s="259"/>
      <c r="U2" s="259"/>
      <c r="V2" s="259"/>
      <c r="W2" s="259"/>
      <c r="X2" s="259"/>
      <c r="Y2" s="259"/>
      <c r="Z2" s="259"/>
      <c r="AA2" s="259"/>
      <c r="AB2" s="259"/>
      <c r="AC2" s="259"/>
      <c r="AD2" s="259"/>
      <c r="AE2" s="259"/>
      <c r="AF2" s="259"/>
      <c r="AG2" s="259"/>
      <c r="AH2" s="259"/>
      <c r="AI2" s="259"/>
      <c r="AJ2" s="259"/>
      <c r="AK2" s="259"/>
      <c r="AL2" s="259"/>
      <c r="AM2" s="259"/>
      <c r="AN2" s="259"/>
      <c r="AO2" s="259"/>
      <c r="AP2" s="259"/>
      <c r="AQ2" s="260"/>
      <c r="AR2" s="138"/>
      <c r="AS2" s="139"/>
      <c r="AT2" s="139"/>
      <c r="AU2" s="139"/>
      <c r="AV2" s="140"/>
      <c r="AX2" s="265"/>
      <c r="AY2" s="274"/>
      <c r="AZ2" s="274"/>
      <c r="BA2" s="274"/>
      <c r="BB2" s="274"/>
      <c r="BC2" s="274"/>
      <c r="BD2" s="274"/>
      <c r="BE2" s="274"/>
      <c r="BF2" s="274"/>
      <c r="BG2" s="274"/>
      <c r="BH2" s="274"/>
      <c r="BI2" s="274"/>
      <c r="BJ2" s="274"/>
      <c r="BK2" s="274"/>
      <c r="BL2" s="274"/>
      <c r="BM2" s="274"/>
      <c r="BN2" s="274"/>
    </row>
    <row r="3" spans="1:66" ht="13.2" customHeight="1">
      <c r="G3" s="61"/>
      <c r="H3" s="61"/>
      <c r="I3" s="61"/>
      <c r="J3" s="61"/>
      <c r="K3" s="61"/>
      <c r="L3" s="62"/>
      <c r="M3" s="62"/>
      <c r="N3" s="62"/>
      <c r="O3" s="62"/>
      <c r="P3" s="62"/>
      <c r="Q3" s="62"/>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60"/>
      <c r="AR3" s="268"/>
      <c r="AS3" s="269"/>
      <c r="AT3" s="269"/>
      <c r="AU3" s="269"/>
      <c r="AV3" s="270"/>
      <c r="AX3" s="265"/>
      <c r="AY3" s="274"/>
      <c r="AZ3" s="274"/>
      <c r="BA3" s="274"/>
      <c r="BB3" s="274"/>
      <c r="BC3" s="274"/>
      <c r="BD3" s="274"/>
      <c r="BE3" s="274"/>
      <c r="BF3" s="274"/>
      <c r="BG3" s="274"/>
      <c r="BH3" s="274"/>
      <c r="BI3" s="274"/>
      <c r="BJ3" s="274"/>
      <c r="BK3" s="274"/>
      <c r="BL3" s="274"/>
      <c r="BM3" s="274"/>
      <c r="BN3" s="274"/>
    </row>
    <row r="4" spans="1:66" ht="13.2" customHeight="1">
      <c r="G4" s="59"/>
      <c r="I4" s="61"/>
      <c r="J4" s="61"/>
      <c r="K4" s="61"/>
      <c r="L4" s="61"/>
      <c r="M4" s="61"/>
      <c r="N4" s="61"/>
      <c r="O4" s="61"/>
      <c r="AQ4" s="41"/>
      <c r="AR4" s="271"/>
      <c r="AS4" s="272"/>
      <c r="AT4" s="272"/>
      <c r="AU4" s="272"/>
      <c r="AV4" s="273"/>
      <c r="AX4" s="266"/>
      <c r="AY4" s="274"/>
      <c r="AZ4" s="274"/>
      <c r="BA4" s="274"/>
      <c r="BB4" s="274"/>
      <c r="BC4" s="274"/>
      <c r="BD4" s="274"/>
      <c r="BE4" s="274"/>
      <c r="BF4" s="274"/>
      <c r="BG4" s="274"/>
      <c r="BH4" s="274"/>
      <c r="BI4" s="274"/>
      <c r="BJ4" s="274"/>
      <c r="BK4" s="274"/>
      <c r="BL4" s="274"/>
      <c r="BM4" s="274"/>
      <c r="BN4" s="274"/>
    </row>
    <row r="5" spans="1:66" ht="14.1" customHeight="1">
      <c r="G5" s="59"/>
      <c r="I5" s="59"/>
      <c r="J5" s="59"/>
      <c r="K5" s="59"/>
      <c r="L5" s="59"/>
      <c r="M5" s="59"/>
      <c r="N5" s="59"/>
      <c r="O5" s="59"/>
      <c r="P5" s="59"/>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41"/>
      <c r="AR5" s="60"/>
      <c r="AS5" s="60"/>
      <c r="AU5" s="59"/>
      <c r="AV5" s="59"/>
    </row>
    <row r="6" spans="1:66" ht="14.1" customHeight="1">
      <c r="A6" s="59" t="s">
        <v>37</v>
      </c>
      <c r="F6" s="59"/>
      <c r="G6" s="59"/>
      <c r="I6" s="59"/>
      <c r="J6" s="59"/>
      <c r="K6" s="59"/>
      <c r="L6" s="59"/>
      <c r="M6" s="59"/>
      <c r="N6" s="59"/>
      <c r="O6" s="59"/>
      <c r="P6" s="59"/>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U6" s="59"/>
      <c r="AV6" s="59"/>
      <c r="AY6" s="41"/>
      <c r="AZ6" s="41"/>
      <c r="BA6" s="41"/>
      <c r="BB6" s="41"/>
      <c r="BE6" s="269" t="s">
        <v>55</v>
      </c>
      <c r="BF6" s="269"/>
      <c r="BG6" s="269"/>
      <c r="BH6" s="269"/>
      <c r="BI6" s="269"/>
      <c r="BJ6" s="269"/>
      <c r="BK6" s="269"/>
      <c r="BL6" s="269"/>
      <c r="BM6" s="269"/>
      <c r="BN6" s="269"/>
    </row>
    <row r="7" spans="1:66" ht="14.1" customHeight="1">
      <c r="F7" s="59"/>
      <c r="G7" s="59"/>
      <c r="I7" s="59"/>
      <c r="J7" s="59"/>
      <c r="K7" s="59"/>
      <c r="L7" s="59"/>
      <c r="M7" s="59"/>
      <c r="N7" s="59"/>
      <c r="O7" s="59"/>
      <c r="P7" s="59"/>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U7" s="59"/>
      <c r="AV7" s="59"/>
      <c r="AY7" s="58"/>
      <c r="AZ7" s="58"/>
      <c r="BA7" s="58"/>
      <c r="BB7" s="58"/>
      <c r="BE7" s="272"/>
      <c r="BF7" s="272"/>
      <c r="BG7" s="272"/>
      <c r="BH7" s="272"/>
      <c r="BI7" s="272"/>
      <c r="BJ7" s="272"/>
      <c r="BK7" s="272"/>
      <c r="BL7" s="272"/>
      <c r="BM7" s="272"/>
      <c r="BN7" s="272"/>
    </row>
    <row r="8" spans="1:66" ht="18.75" customHeight="1">
      <c r="A8" s="172" t="s">
        <v>27</v>
      </c>
      <c r="B8" s="133"/>
      <c r="C8" s="133"/>
      <c r="D8" s="133"/>
      <c r="E8" s="133"/>
      <c r="F8" s="134"/>
      <c r="G8" s="277"/>
      <c r="H8" s="278"/>
      <c r="I8" s="278"/>
      <c r="J8" s="278"/>
      <c r="K8" s="278"/>
      <c r="L8" s="278"/>
      <c r="M8" s="278"/>
      <c r="N8" s="278"/>
      <c r="O8" s="278"/>
      <c r="P8" s="278"/>
      <c r="Q8" s="278"/>
      <c r="R8" s="278"/>
      <c r="S8" s="278"/>
      <c r="T8" s="278"/>
      <c r="U8" s="278"/>
      <c r="V8" s="278"/>
      <c r="W8" s="278"/>
      <c r="X8" s="278"/>
      <c r="Y8" s="278"/>
      <c r="Z8" s="278"/>
      <c r="AA8" s="278"/>
      <c r="AB8" s="278"/>
      <c r="AC8" s="278"/>
      <c r="AD8" s="278"/>
      <c r="AE8" s="278"/>
      <c r="AF8" s="278"/>
      <c r="AG8" s="279"/>
      <c r="AH8" s="172" t="s">
        <v>3</v>
      </c>
      <c r="AI8" s="133"/>
      <c r="AJ8" s="133"/>
      <c r="AK8" s="133"/>
      <c r="AL8" s="133"/>
      <c r="AM8" s="134"/>
      <c r="AN8" s="138"/>
      <c r="AO8" s="139"/>
      <c r="AP8" s="139"/>
      <c r="AQ8" s="139"/>
      <c r="AR8" s="139"/>
      <c r="AS8" s="139"/>
      <c r="AT8" s="139"/>
      <c r="AU8" s="139"/>
      <c r="AV8" s="139"/>
      <c r="AW8" s="139"/>
      <c r="AX8" s="139"/>
      <c r="AY8" s="139"/>
      <c r="AZ8" s="139"/>
      <c r="BA8" s="139"/>
      <c r="BB8" s="139"/>
      <c r="BC8" s="139"/>
      <c r="BD8" s="139"/>
      <c r="BE8" s="139"/>
      <c r="BF8" s="139"/>
      <c r="BG8" s="139"/>
      <c r="BH8" s="139"/>
      <c r="BI8" s="139"/>
      <c r="BJ8" s="139"/>
      <c r="BK8" s="139"/>
      <c r="BL8" s="139"/>
      <c r="BM8" s="139"/>
      <c r="BN8" s="140"/>
    </row>
    <row r="9" spans="1:66" ht="18.75" customHeight="1">
      <c r="A9" s="135"/>
      <c r="B9" s="136"/>
      <c r="C9" s="136"/>
      <c r="D9" s="136"/>
      <c r="E9" s="136"/>
      <c r="F9" s="137"/>
      <c r="G9" s="271" t="s">
        <v>26</v>
      </c>
      <c r="H9" s="272"/>
      <c r="I9" s="272"/>
      <c r="J9" s="272"/>
      <c r="K9" s="272"/>
      <c r="L9" s="272"/>
      <c r="M9" s="272"/>
      <c r="N9" s="298"/>
      <c r="O9" s="298"/>
      <c r="P9" s="298"/>
      <c r="Q9" s="298"/>
      <c r="R9" s="298"/>
      <c r="S9" s="298"/>
      <c r="T9" s="298"/>
      <c r="U9" s="298"/>
      <c r="V9" s="298"/>
      <c r="W9" s="298"/>
      <c r="X9" s="298"/>
      <c r="Y9" s="298"/>
      <c r="Z9" s="298"/>
      <c r="AA9" s="298"/>
      <c r="AB9" s="298"/>
      <c r="AC9" s="298"/>
      <c r="AD9" s="298"/>
      <c r="AE9" s="298"/>
      <c r="AF9" s="298"/>
      <c r="AG9" s="299"/>
      <c r="AH9" s="135"/>
      <c r="AI9" s="136"/>
      <c r="AJ9" s="136"/>
      <c r="AK9" s="136"/>
      <c r="AL9" s="136"/>
      <c r="AM9" s="137"/>
      <c r="AN9" s="271"/>
      <c r="AO9" s="272"/>
      <c r="AP9" s="272"/>
      <c r="AQ9" s="272"/>
      <c r="AR9" s="272"/>
      <c r="AS9" s="272"/>
      <c r="AT9" s="272"/>
      <c r="AU9" s="272"/>
      <c r="AV9" s="272"/>
      <c r="AW9" s="272"/>
      <c r="AX9" s="272"/>
      <c r="AY9" s="272"/>
      <c r="AZ9" s="272"/>
      <c r="BA9" s="272"/>
      <c r="BB9" s="272"/>
      <c r="BC9" s="272"/>
      <c r="BD9" s="272"/>
      <c r="BE9" s="272"/>
      <c r="BF9" s="272"/>
      <c r="BG9" s="272"/>
      <c r="BH9" s="272"/>
      <c r="BI9" s="272"/>
      <c r="BJ9" s="272"/>
      <c r="BK9" s="272"/>
      <c r="BL9" s="272"/>
      <c r="BM9" s="272"/>
      <c r="BN9" s="273"/>
    </row>
    <row r="10" spans="1:66" ht="17.25" customHeight="1"/>
    <row r="11" spans="1:66" ht="17.25" customHeight="1">
      <c r="B11" s="24" t="s">
        <v>88</v>
      </c>
    </row>
    <row r="12" spans="1:66" ht="6.75" customHeight="1"/>
    <row r="13" spans="1:66" ht="17.25" customHeight="1">
      <c r="A13" s="172" t="s">
        <v>0</v>
      </c>
      <c r="B13" s="133"/>
      <c r="C13" s="133"/>
      <c r="D13" s="133"/>
      <c r="E13" s="133"/>
      <c r="F13" s="134"/>
      <c r="G13" s="431">
        <v>44389</v>
      </c>
      <c r="H13" s="431"/>
      <c r="I13" s="431"/>
      <c r="J13" s="431"/>
      <c r="K13" s="431"/>
      <c r="L13" s="431"/>
      <c r="M13" s="431"/>
      <c r="N13" s="431"/>
      <c r="O13" s="432"/>
      <c r="P13" s="320" t="s">
        <v>2</v>
      </c>
      <c r="Q13" s="321"/>
      <c r="R13" s="433">
        <v>44390</v>
      </c>
      <c r="S13" s="431"/>
      <c r="T13" s="431"/>
      <c r="U13" s="431"/>
      <c r="V13" s="431"/>
      <c r="W13" s="431"/>
      <c r="X13" s="431"/>
      <c r="Y13" s="431"/>
      <c r="Z13" s="432"/>
      <c r="AA13" s="320" t="s">
        <v>1</v>
      </c>
      <c r="AB13" s="321"/>
      <c r="AC13" s="434">
        <v>2</v>
      </c>
      <c r="AD13" s="435"/>
      <c r="AE13" s="436"/>
      <c r="AF13" s="320" t="s">
        <v>8</v>
      </c>
      <c r="AG13" s="267"/>
      <c r="AH13" s="132" t="s">
        <v>87</v>
      </c>
      <c r="AI13" s="133"/>
      <c r="AJ13" s="133"/>
      <c r="AK13" s="133"/>
      <c r="AL13" s="133"/>
      <c r="AM13" s="134"/>
      <c r="AN13" s="280"/>
      <c r="AO13" s="281"/>
      <c r="AP13" s="300" t="s">
        <v>86</v>
      </c>
      <c r="AQ13" s="300"/>
      <c r="AR13" s="300"/>
      <c r="AS13" s="300"/>
      <c r="AT13" s="300"/>
      <c r="AU13" s="300"/>
      <c r="AV13" s="281"/>
      <c r="AW13" s="281"/>
      <c r="AX13" s="300" t="s">
        <v>85</v>
      </c>
      <c r="AY13" s="300"/>
      <c r="AZ13" s="300"/>
      <c r="BA13" s="300"/>
      <c r="BB13" s="300"/>
      <c r="BC13" s="300"/>
      <c r="BD13" s="57"/>
      <c r="BE13" s="57"/>
      <c r="BF13" s="57"/>
      <c r="BG13" s="57"/>
      <c r="BH13" s="57"/>
      <c r="BI13" s="57"/>
      <c r="BJ13" s="57"/>
      <c r="BK13" s="57"/>
      <c r="BL13" s="57"/>
      <c r="BM13" s="57"/>
      <c r="BN13" s="56"/>
    </row>
    <row r="14" spans="1:66" ht="17.25" customHeight="1">
      <c r="A14" s="135"/>
      <c r="B14" s="136"/>
      <c r="C14" s="136"/>
      <c r="D14" s="136"/>
      <c r="E14" s="136"/>
      <c r="F14" s="137"/>
      <c r="G14" s="431"/>
      <c r="H14" s="431"/>
      <c r="I14" s="431"/>
      <c r="J14" s="431"/>
      <c r="K14" s="431"/>
      <c r="L14" s="431"/>
      <c r="M14" s="431"/>
      <c r="N14" s="431"/>
      <c r="O14" s="432"/>
      <c r="P14" s="320"/>
      <c r="Q14" s="321"/>
      <c r="R14" s="433"/>
      <c r="S14" s="431"/>
      <c r="T14" s="431"/>
      <c r="U14" s="431"/>
      <c r="V14" s="431"/>
      <c r="W14" s="431"/>
      <c r="X14" s="431"/>
      <c r="Y14" s="431"/>
      <c r="Z14" s="432"/>
      <c r="AA14" s="320"/>
      <c r="AB14" s="321"/>
      <c r="AC14" s="434"/>
      <c r="AD14" s="435"/>
      <c r="AE14" s="436"/>
      <c r="AF14" s="320"/>
      <c r="AG14" s="267"/>
      <c r="AH14" s="295"/>
      <c r="AI14" s="296"/>
      <c r="AJ14" s="296"/>
      <c r="AK14" s="296"/>
      <c r="AL14" s="296"/>
      <c r="AM14" s="297"/>
      <c r="AN14" s="301"/>
      <c r="AO14" s="302"/>
      <c r="AP14" s="302"/>
      <c r="AQ14" s="302"/>
      <c r="AR14" s="302"/>
      <c r="AS14" s="302"/>
      <c r="AT14" s="302"/>
      <c r="AU14" s="302"/>
      <c r="AV14" s="302"/>
      <c r="AW14" s="302"/>
      <c r="AX14" s="302"/>
      <c r="AY14" s="302"/>
      <c r="AZ14" s="302"/>
      <c r="BA14" s="302"/>
      <c r="BB14" s="302"/>
      <c r="BC14" s="302"/>
      <c r="BD14" s="302"/>
      <c r="BE14" s="302"/>
      <c r="BF14" s="302"/>
      <c r="BG14" s="302"/>
      <c r="BH14" s="302"/>
      <c r="BI14" s="302"/>
      <c r="BJ14" s="302"/>
      <c r="BK14" s="302"/>
      <c r="BL14" s="302"/>
      <c r="BM14" s="302"/>
      <c r="BN14" s="303"/>
    </row>
    <row r="15" spans="1:66" ht="17.25" customHeight="1">
      <c r="A15" s="172" t="s">
        <v>52</v>
      </c>
      <c r="B15" s="133"/>
      <c r="C15" s="133"/>
      <c r="D15" s="133"/>
      <c r="E15" s="133"/>
      <c r="F15" s="134"/>
      <c r="G15" s="448" t="s">
        <v>100</v>
      </c>
      <c r="H15" s="449"/>
      <c r="I15" s="449"/>
      <c r="J15" s="449"/>
      <c r="K15" s="449"/>
      <c r="L15" s="449"/>
      <c r="M15" s="449"/>
      <c r="N15" s="449"/>
      <c r="O15" s="450"/>
      <c r="P15" s="185" t="s">
        <v>60</v>
      </c>
      <c r="Q15" s="133"/>
      <c r="R15" s="133"/>
      <c r="S15" s="133"/>
      <c r="T15" s="133"/>
      <c r="U15" s="288"/>
      <c r="V15" s="443" t="s">
        <v>114</v>
      </c>
      <c r="W15" s="409"/>
      <c r="X15" s="409"/>
      <c r="Y15" s="409"/>
      <c r="Z15" s="409"/>
      <c r="AA15" s="409"/>
      <c r="AB15" s="409"/>
      <c r="AC15" s="409"/>
      <c r="AD15" s="409"/>
      <c r="AE15" s="444"/>
      <c r="AF15" s="281" t="s">
        <v>40</v>
      </c>
      <c r="AG15" s="292"/>
      <c r="AH15" s="295"/>
      <c r="AI15" s="296"/>
      <c r="AJ15" s="296"/>
      <c r="AK15" s="296"/>
      <c r="AL15" s="296"/>
      <c r="AM15" s="297"/>
      <c r="AN15" s="304"/>
      <c r="AO15" s="305"/>
      <c r="AP15" s="305"/>
      <c r="AQ15" s="305"/>
      <c r="AR15" s="305"/>
      <c r="AS15" s="305"/>
      <c r="AT15" s="305"/>
      <c r="AU15" s="305"/>
      <c r="AV15" s="305"/>
      <c r="AW15" s="305"/>
      <c r="AX15" s="305"/>
      <c r="AY15" s="305"/>
      <c r="AZ15" s="305"/>
      <c r="BA15" s="305"/>
      <c r="BB15" s="305"/>
      <c r="BC15" s="305"/>
      <c r="BD15" s="305"/>
      <c r="BE15" s="305"/>
      <c r="BF15" s="305"/>
      <c r="BG15" s="305"/>
      <c r="BH15" s="305"/>
      <c r="BI15" s="305"/>
      <c r="BJ15" s="305"/>
      <c r="BK15" s="305"/>
      <c r="BL15" s="305"/>
      <c r="BM15" s="305"/>
      <c r="BN15" s="306"/>
    </row>
    <row r="16" spans="1:66" ht="17.25" customHeight="1">
      <c r="A16" s="135"/>
      <c r="B16" s="136"/>
      <c r="C16" s="136"/>
      <c r="D16" s="136"/>
      <c r="E16" s="136"/>
      <c r="F16" s="137"/>
      <c r="G16" s="451"/>
      <c r="H16" s="452"/>
      <c r="I16" s="452"/>
      <c r="J16" s="452"/>
      <c r="K16" s="452"/>
      <c r="L16" s="452"/>
      <c r="M16" s="452"/>
      <c r="N16" s="452"/>
      <c r="O16" s="453"/>
      <c r="P16" s="136"/>
      <c r="Q16" s="136"/>
      <c r="R16" s="136"/>
      <c r="S16" s="136"/>
      <c r="T16" s="136"/>
      <c r="U16" s="289"/>
      <c r="V16" s="454" t="s">
        <v>102</v>
      </c>
      <c r="W16" s="420"/>
      <c r="X16" s="420"/>
      <c r="Y16" s="420"/>
      <c r="Z16" s="420"/>
      <c r="AA16" s="420"/>
      <c r="AB16" s="420"/>
      <c r="AC16" s="420"/>
      <c r="AD16" s="420"/>
      <c r="AE16" s="455"/>
      <c r="AF16" s="272" t="s">
        <v>47</v>
      </c>
      <c r="AG16" s="273"/>
      <c r="AH16" s="295"/>
      <c r="AI16" s="296"/>
      <c r="AJ16" s="296"/>
      <c r="AK16" s="296"/>
      <c r="AL16" s="296"/>
      <c r="AM16" s="297"/>
      <c r="AN16" s="304"/>
      <c r="AO16" s="305"/>
      <c r="AP16" s="305"/>
      <c r="AQ16" s="305"/>
      <c r="AR16" s="305"/>
      <c r="AS16" s="305"/>
      <c r="AT16" s="305"/>
      <c r="AU16" s="305"/>
      <c r="AV16" s="305"/>
      <c r="AW16" s="305"/>
      <c r="AX16" s="305"/>
      <c r="AY16" s="305"/>
      <c r="AZ16" s="305"/>
      <c r="BA16" s="305"/>
      <c r="BB16" s="305"/>
      <c r="BC16" s="305"/>
      <c r="BD16" s="305"/>
      <c r="BE16" s="305"/>
      <c r="BF16" s="305"/>
      <c r="BG16" s="305"/>
      <c r="BH16" s="305"/>
      <c r="BI16" s="305"/>
      <c r="BJ16" s="305"/>
      <c r="BK16" s="305"/>
      <c r="BL16" s="305"/>
      <c r="BM16" s="305"/>
      <c r="BN16" s="306"/>
    </row>
    <row r="17" spans="1:71" ht="17.25" customHeight="1">
      <c r="A17" s="172" t="s">
        <v>51</v>
      </c>
      <c r="B17" s="133"/>
      <c r="C17" s="133"/>
      <c r="D17" s="133"/>
      <c r="E17" s="133"/>
      <c r="F17" s="134"/>
      <c r="G17" s="437" t="s">
        <v>103</v>
      </c>
      <c r="H17" s="438"/>
      <c r="I17" s="438"/>
      <c r="J17" s="438"/>
      <c r="K17" s="438"/>
      <c r="L17" s="438"/>
      <c r="M17" s="438"/>
      <c r="N17" s="438"/>
      <c r="O17" s="439"/>
      <c r="P17" s="185" t="s">
        <v>60</v>
      </c>
      <c r="Q17" s="133"/>
      <c r="R17" s="133"/>
      <c r="S17" s="133"/>
      <c r="T17" s="133"/>
      <c r="U17" s="288"/>
      <c r="V17" s="443" t="s">
        <v>104</v>
      </c>
      <c r="W17" s="409"/>
      <c r="X17" s="409"/>
      <c r="Y17" s="409"/>
      <c r="Z17" s="409"/>
      <c r="AA17" s="409"/>
      <c r="AB17" s="409"/>
      <c r="AC17" s="409"/>
      <c r="AD17" s="409"/>
      <c r="AE17" s="444"/>
      <c r="AF17" s="281" t="s">
        <v>40</v>
      </c>
      <c r="AG17" s="292"/>
      <c r="AH17" s="295"/>
      <c r="AI17" s="296"/>
      <c r="AJ17" s="296"/>
      <c r="AK17" s="296"/>
      <c r="AL17" s="296"/>
      <c r="AM17" s="297"/>
      <c r="AN17" s="304"/>
      <c r="AO17" s="305"/>
      <c r="AP17" s="305"/>
      <c r="AQ17" s="305"/>
      <c r="AR17" s="305"/>
      <c r="AS17" s="305"/>
      <c r="AT17" s="305"/>
      <c r="AU17" s="305"/>
      <c r="AV17" s="305"/>
      <c r="AW17" s="305"/>
      <c r="AX17" s="305"/>
      <c r="AY17" s="305"/>
      <c r="AZ17" s="305"/>
      <c r="BA17" s="305"/>
      <c r="BB17" s="305"/>
      <c r="BC17" s="305"/>
      <c r="BD17" s="305"/>
      <c r="BE17" s="305"/>
      <c r="BF17" s="305"/>
      <c r="BG17" s="305"/>
      <c r="BH17" s="305"/>
      <c r="BI17" s="305"/>
      <c r="BJ17" s="305"/>
      <c r="BK17" s="305"/>
      <c r="BL17" s="305"/>
      <c r="BM17" s="305"/>
      <c r="BN17" s="306"/>
    </row>
    <row r="18" spans="1:71" ht="17.25" customHeight="1">
      <c r="A18" s="135"/>
      <c r="B18" s="136"/>
      <c r="C18" s="136"/>
      <c r="D18" s="136"/>
      <c r="E18" s="136"/>
      <c r="F18" s="137"/>
      <c r="G18" s="440"/>
      <c r="H18" s="441"/>
      <c r="I18" s="441"/>
      <c r="J18" s="441"/>
      <c r="K18" s="441"/>
      <c r="L18" s="441"/>
      <c r="M18" s="441"/>
      <c r="N18" s="441"/>
      <c r="O18" s="442"/>
      <c r="P18" s="136"/>
      <c r="Q18" s="136"/>
      <c r="R18" s="136"/>
      <c r="S18" s="136"/>
      <c r="T18" s="136"/>
      <c r="U18" s="289"/>
      <c r="V18" s="445" t="s">
        <v>105</v>
      </c>
      <c r="W18" s="446"/>
      <c r="X18" s="446"/>
      <c r="Y18" s="446"/>
      <c r="Z18" s="446"/>
      <c r="AA18" s="446"/>
      <c r="AB18" s="446"/>
      <c r="AC18" s="446"/>
      <c r="AD18" s="446"/>
      <c r="AE18" s="447"/>
      <c r="AF18" s="316" t="s">
        <v>47</v>
      </c>
      <c r="AG18" s="317"/>
      <c r="AH18" s="135"/>
      <c r="AI18" s="136"/>
      <c r="AJ18" s="136"/>
      <c r="AK18" s="136"/>
      <c r="AL18" s="136"/>
      <c r="AM18" s="137"/>
      <c r="AN18" s="144"/>
      <c r="AO18" s="145"/>
      <c r="AP18" s="145"/>
      <c r="AQ18" s="145"/>
      <c r="AR18" s="145"/>
      <c r="AS18" s="145"/>
      <c r="AT18" s="145"/>
      <c r="AU18" s="145"/>
      <c r="AV18" s="145"/>
      <c r="AW18" s="145"/>
      <c r="AX18" s="145"/>
      <c r="AY18" s="145"/>
      <c r="AZ18" s="145"/>
      <c r="BA18" s="145"/>
      <c r="BB18" s="145"/>
      <c r="BC18" s="145"/>
      <c r="BD18" s="145"/>
      <c r="BE18" s="145"/>
      <c r="BF18" s="145"/>
      <c r="BG18" s="145"/>
      <c r="BH18" s="145"/>
      <c r="BI18" s="145"/>
      <c r="BJ18" s="145"/>
      <c r="BK18" s="145"/>
      <c r="BL18" s="145"/>
      <c r="BM18" s="145"/>
      <c r="BN18" s="146"/>
    </row>
    <row r="19" spans="1:71" ht="6.75" customHeight="1">
      <c r="BH19" s="75"/>
    </row>
    <row r="20" spans="1:71" ht="17.25" customHeight="1">
      <c r="A20" s="326"/>
      <c r="B20" s="172" t="s">
        <v>84</v>
      </c>
      <c r="C20" s="133"/>
      <c r="D20" s="133"/>
      <c r="E20" s="133"/>
      <c r="F20" s="134"/>
      <c r="G20" s="172" t="s">
        <v>50</v>
      </c>
      <c r="H20" s="133"/>
      <c r="I20" s="133"/>
      <c r="J20" s="133"/>
      <c r="K20" s="133"/>
      <c r="L20" s="133"/>
      <c r="M20" s="133"/>
      <c r="N20" s="133"/>
      <c r="O20" s="133"/>
      <c r="P20" s="133"/>
      <c r="Q20" s="133"/>
      <c r="R20" s="133"/>
      <c r="S20" s="134"/>
      <c r="T20" s="172" t="s">
        <v>49</v>
      </c>
      <c r="U20" s="133"/>
      <c r="V20" s="133"/>
      <c r="W20" s="133"/>
      <c r="X20" s="133"/>
      <c r="Y20" s="133"/>
      <c r="Z20" s="133"/>
      <c r="AA20" s="133"/>
      <c r="AB20" s="133"/>
      <c r="AC20" s="133"/>
      <c r="AD20" s="133"/>
      <c r="AE20" s="132" t="s">
        <v>66</v>
      </c>
      <c r="AF20" s="133"/>
      <c r="AG20" s="133"/>
      <c r="AH20" s="133"/>
      <c r="AI20" s="133"/>
      <c r="AJ20" s="133"/>
      <c r="AK20" s="134"/>
      <c r="AL20" s="172" t="s">
        <v>57</v>
      </c>
      <c r="AM20" s="133"/>
      <c r="AN20" s="133"/>
      <c r="AO20" s="133"/>
      <c r="AP20" s="133"/>
      <c r="AQ20" s="133"/>
      <c r="AR20" s="133"/>
      <c r="AS20" s="133"/>
      <c r="AT20" s="133"/>
      <c r="AU20" s="133"/>
      <c r="AV20" s="133"/>
      <c r="AW20" s="134"/>
      <c r="AX20" s="326" t="s">
        <v>83</v>
      </c>
      <c r="AY20" s="326"/>
      <c r="AZ20" s="326"/>
      <c r="BA20" s="326"/>
      <c r="BB20" s="326"/>
      <c r="BC20" s="326"/>
      <c r="BD20" s="326"/>
      <c r="BE20" s="326"/>
      <c r="BF20" s="326"/>
      <c r="BG20" s="326"/>
      <c r="BH20" s="326"/>
      <c r="BI20" s="326"/>
      <c r="BJ20" s="326"/>
      <c r="BK20" s="326"/>
      <c r="BL20" s="326"/>
      <c r="BM20" s="326"/>
      <c r="BN20" s="326"/>
    </row>
    <row r="21" spans="1:71" ht="17.25" customHeight="1">
      <c r="A21" s="326"/>
      <c r="B21" s="135"/>
      <c r="C21" s="136"/>
      <c r="D21" s="136"/>
      <c r="E21" s="136"/>
      <c r="F21" s="137"/>
      <c r="G21" s="135"/>
      <c r="H21" s="136"/>
      <c r="I21" s="136"/>
      <c r="J21" s="136"/>
      <c r="K21" s="136"/>
      <c r="L21" s="136"/>
      <c r="M21" s="136"/>
      <c r="N21" s="136"/>
      <c r="O21" s="136"/>
      <c r="P21" s="136"/>
      <c r="Q21" s="136"/>
      <c r="R21" s="136"/>
      <c r="S21" s="137"/>
      <c r="T21" s="135"/>
      <c r="U21" s="136"/>
      <c r="V21" s="136"/>
      <c r="W21" s="136"/>
      <c r="X21" s="136"/>
      <c r="Y21" s="136"/>
      <c r="Z21" s="136"/>
      <c r="AA21" s="136"/>
      <c r="AB21" s="136"/>
      <c r="AC21" s="136"/>
      <c r="AD21" s="136"/>
      <c r="AE21" s="135"/>
      <c r="AF21" s="136"/>
      <c r="AG21" s="136"/>
      <c r="AH21" s="136"/>
      <c r="AI21" s="136"/>
      <c r="AJ21" s="136"/>
      <c r="AK21" s="137"/>
      <c r="AL21" s="135"/>
      <c r="AM21" s="136"/>
      <c r="AN21" s="136"/>
      <c r="AO21" s="136"/>
      <c r="AP21" s="136"/>
      <c r="AQ21" s="136"/>
      <c r="AR21" s="136"/>
      <c r="AS21" s="136"/>
      <c r="AT21" s="136"/>
      <c r="AU21" s="136"/>
      <c r="AV21" s="136"/>
      <c r="AW21" s="137"/>
      <c r="AX21" s="326"/>
      <c r="AY21" s="326"/>
      <c r="AZ21" s="326"/>
      <c r="BA21" s="326"/>
      <c r="BB21" s="326"/>
      <c r="BC21" s="326"/>
      <c r="BD21" s="326"/>
      <c r="BE21" s="326"/>
      <c r="BF21" s="326"/>
      <c r="BG21" s="326"/>
      <c r="BH21" s="326"/>
      <c r="BI21" s="326"/>
      <c r="BJ21" s="326"/>
      <c r="BK21" s="326"/>
      <c r="BL21" s="326"/>
      <c r="BM21" s="326"/>
      <c r="BN21" s="326"/>
    </row>
    <row r="22" spans="1:71" ht="17.25" customHeight="1">
      <c r="A22" s="326">
        <v>1</v>
      </c>
      <c r="B22" s="456">
        <v>44390</v>
      </c>
      <c r="C22" s="457"/>
      <c r="D22" s="457"/>
      <c r="E22" s="457"/>
      <c r="F22" s="458"/>
      <c r="G22" s="462" t="s">
        <v>120</v>
      </c>
      <c r="H22" s="463"/>
      <c r="I22" s="463"/>
      <c r="J22" s="463"/>
      <c r="K22" s="463"/>
      <c r="L22" s="463"/>
      <c r="M22" s="463"/>
      <c r="N22" s="463"/>
      <c r="O22" s="463"/>
      <c r="P22" s="463"/>
      <c r="Q22" s="463"/>
      <c r="R22" s="463"/>
      <c r="S22" s="464"/>
      <c r="T22" s="413" t="s">
        <v>107</v>
      </c>
      <c r="U22" s="414"/>
      <c r="V22" s="414"/>
      <c r="W22" s="414"/>
      <c r="X22" s="414"/>
      <c r="Y22" s="414"/>
      <c r="Z22" s="414"/>
      <c r="AA22" s="414"/>
      <c r="AB22" s="414"/>
      <c r="AC22" s="414"/>
      <c r="AD22" s="414"/>
      <c r="AE22" s="408" t="s">
        <v>114</v>
      </c>
      <c r="AF22" s="409"/>
      <c r="AG22" s="409"/>
      <c r="AH22" s="409"/>
      <c r="AI22" s="409"/>
      <c r="AJ22" s="409"/>
      <c r="AK22" s="26" t="s">
        <v>40</v>
      </c>
      <c r="AL22" s="410" t="s">
        <v>108</v>
      </c>
      <c r="AM22" s="411"/>
      <c r="AN22" s="411"/>
      <c r="AO22" s="411"/>
      <c r="AP22" s="411"/>
      <c r="AQ22" s="411"/>
      <c r="AR22" s="411"/>
      <c r="AS22" s="411"/>
      <c r="AT22" s="411"/>
      <c r="AU22" s="411"/>
      <c r="AV22" s="411"/>
      <c r="AW22" s="412"/>
      <c r="AX22" s="413" t="s">
        <v>109</v>
      </c>
      <c r="AY22" s="414"/>
      <c r="AZ22" s="414"/>
      <c r="BA22" s="414"/>
      <c r="BB22" s="414"/>
      <c r="BC22" s="414"/>
      <c r="BD22" s="414"/>
      <c r="BE22" s="414"/>
      <c r="BF22" s="414"/>
      <c r="BG22" s="414"/>
      <c r="BH22" s="414"/>
      <c r="BI22" s="414"/>
      <c r="BJ22" s="414"/>
      <c r="BK22" s="414"/>
      <c r="BL22" s="414"/>
      <c r="BM22" s="414"/>
      <c r="BN22" s="415"/>
    </row>
    <row r="23" spans="1:71" ht="17.25" customHeight="1">
      <c r="A23" s="326"/>
      <c r="B23" s="459"/>
      <c r="C23" s="460"/>
      <c r="D23" s="460"/>
      <c r="E23" s="460"/>
      <c r="F23" s="461"/>
      <c r="G23" s="254" t="s">
        <v>82</v>
      </c>
      <c r="H23" s="152"/>
      <c r="I23" s="152"/>
      <c r="J23" s="152"/>
      <c r="K23" s="55" t="s">
        <v>31</v>
      </c>
      <c r="L23" s="150"/>
      <c r="M23" s="150"/>
      <c r="N23" s="150"/>
      <c r="O23" s="150"/>
      <c r="P23" s="150"/>
      <c r="Q23" s="150"/>
      <c r="R23" s="150"/>
      <c r="S23" s="54" t="s">
        <v>30</v>
      </c>
      <c r="T23" s="416"/>
      <c r="U23" s="417"/>
      <c r="V23" s="417"/>
      <c r="W23" s="417"/>
      <c r="X23" s="417"/>
      <c r="Y23" s="417"/>
      <c r="Z23" s="417"/>
      <c r="AA23" s="417"/>
      <c r="AB23" s="417"/>
      <c r="AC23" s="417"/>
      <c r="AD23" s="417"/>
      <c r="AE23" s="419" t="s">
        <v>110</v>
      </c>
      <c r="AF23" s="420"/>
      <c r="AG23" s="420"/>
      <c r="AH23" s="420"/>
      <c r="AI23" s="420"/>
      <c r="AJ23" s="420"/>
      <c r="AK23" s="27" t="s">
        <v>47</v>
      </c>
      <c r="AL23" s="149" t="s">
        <v>67</v>
      </c>
      <c r="AM23" s="150"/>
      <c r="AN23" s="150"/>
      <c r="AO23" s="150"/>
      <c r="AP23" s="150"/>
      <c r="AQ23" s="421">
        <v>0.375</v>
      </c>
      <c r="AR23" s="421"/>
      <c r="AS23" s="421"/>
      <c r="AT23" s="23" t="s">
        <v>39</v>
      </c>
      <c r="AU23" s="421">
        <v>0.70833333333333337</v>
      </c>
      <c r="AV23" s="422"/>
      <c r="AW23" s="423"/>
      <c r="AX23" s="416"/>
      <c r="AY23" s="417"/>
      <c r="AZ23" s="417"/>
      <c r="BA23" s="417"/>
      <c r="BB23" s="417"/>
      <c r="BC23" s="417"/>
      <c r="BD23" s="417"/>
      <c r="BE23" s="417"/>
      <c r="BF23" s="417"/>
      <c r="BG23" s="417"/>
      <c r="BH23" s="417"/>
      <c r="BI23" s="417"/>
      <c r="BJ23" s="417"/>
      <c r="BK23" s="417"/>
      <c r="BL23" s="417"/>
      <c r="BM23" s="417"/>
      <c r="BN23" s="418"/>
    </row>
    <row r="24" spans="1:71" ht="17.25" customHeight="1">
      <c r="A24" s="326">
        <v>2</v>
      </c>
      <c r="B24" s="333"/>
      <c r="C24" s="334"/>
      <c r="D24" s="334"/>
      <c r="E24" s="334"/>
      <c r="F24" s="335"/>
      <c r="G24" s="256"/>
      <c r="H24" s="257"/>
      <c r="I24" s="257"/>
      <c r="J24" s="257"/>
      <c r="K24" s="257"/>
      <c r="L24" s="257"/>
      <c r="M24" s="257"/>
      <c r="N24" s="257"/>
      <c r="O24" s="257"/>
      <c r="P24" s="257"/>
      <c r="Q24" s="257"/>
      <c r="R24" s="257"/>
      <c r="S24" s="258"/>
      <c r="T24" s="141"/>
      <c r="U24" s="142"/>
      <c r="V24" s="142"/>
      <c r="W24" s="142"/>
      <c r="X24" s="142"/>
      <c r="Y24" s="142"/>
      <c r="Z24" s="142"/>
      <c r="AA24" s="142"/>
      <c r="AB24" s="142"/>
      <c r="AC24" s="142"/>
      <c r="AD24" s="142"/>
      <c r="AE24" s="170"/>
      <c r="AF24" s="171"/>
      <c r="AG24" s="171"/>
      <c r="AH24" s="171"/>
      <c r="AI24" s="171"/>
      <c r="AJ24" s="171"/>
      <c r="AK24" s="26" t="s">
        <v>40</v>
      </c>
      <c r="AL24" s="138"/>
      <c r="AM24" s="139"/>
      <c r="AN24" s="139"/>
      <c r="AO24" s="139"/>
      <c r="AP24" s="139"/>
      <c r="AQ24" s="139"/>
      <c r="AR24" s="139"/>
      <c r="AS24" s="139"/>
      <c r="AT24" s="139"/>
      <c r="AU24" s="139"/>
      <c r="AV24" s="139"/>
      <c r="AW24" s="140"/>
      <c r="AX24" s="253"/>
      <c r="AY24" s="253"/>
      <c r="AZ24" s="253"/>
      <c r="BA24" s="253"/>
      <c r="BB24" s="253"/>
      <c r="BC24" s="253"/>
      <c r="BD24" s="253"/>
      <c r="BE24" s="253"/>
      <c r="BF24" s="253"/>
      <c r="BG24" s="253"/>
      <c r="BH24" s="253"/>
      <c r="BI24" s="253"/>
      <c r="BJ24" s="253"/>
      <c r="BK24" s="253"/>
      <c r="BL24" s="253"/>
      <c r="BM24" s="253"/>
      <c r="BN24" s="253"/>
    </row>
    <row r="25" spans="1:71" ht="17.25" customHeight="1">
      <c r="A25" s="326"/>
      <c r="B25" s="336"/>
      <c r="C25" s="337"/>
      <c r="D25" s="337"/>
      <c r="E25" s="337"/>
      <c r="F25" s="338"/>
      <c r="G25" s="254" t="s">
        <v>82</v>
      </c>
      <c r="H25" s="152"/>
      <c r="I25" s="152"/>
      <c r="J25" s="152"/>
      <c r="K25" s="55" t="s">
        <v>31</v>
      </c>
      <c r="L25" s="150"/>
      <c r="M25" s="150"/>
      <c r="N25" s="150"/>
      <c r="O25" s="150"/>
      <c r="P25" s="150"/>
      <c r="Q25" s="150"/>
      <c r="R25" s="150"/>
      <c r="S25" s="54" t="s">
        <v>30</v>
      </c>
      <c r="T25" s="144"/>
      <c r="U25" s="145"/>
      <c r="V25" s="145"/>
      <c r="W25" s="145"/>
      <c r="X25" s="145"/>
      <c r="Y25" s="145"/>
      <c r="Z25" s="145"/>
      <c r="AA25" s="145"/>
      <c r="AB25" s="145"/>
      <c r="AC25" s="145"/>
      <c r="AD25" s="145"/>
      <c r="AE25" s="147"/>
      <c r="AF25" s="148"/>
      <c r="AG25" s="148"/>
      <c r="AH25" s="148"/>
      <c r="AI25" s="148"/>
      <c r="AJ25" s="148"/>
      <c r="AK25" s="27" t="s">
        <v>47</v>
      </c>
      <c r="AL25" s="149" t="s">
        <v>81</v>
      </c>
      <c r="AM25" s="150"/>
      <c r="AN25" s="150"/>
      <c r="AO25" s="150"/>
      <c r="AP25" s="150"/>
      <c r="AQ25" s="151" t="s">
        <v>58</v>
      </c>
      <c r="AR25" s="151"/>
      <c r="AS25" s="151"/>
      <c r="AT25" s="23" t="s">
        <v>39</v>
      </c>
      <c r="AU25" s="152" t="s">
        <v>58</v>
      </c>
      <c r="AV25" s="152"/>
      <c r="AW25" s="152"/>
      <c r="AX25" s="253"/>
      <c r="AY25" s="253"/>
      <c r="AZ25" s="253"/>
      <c r="BA25" s="253"/>
      <c r="BB25" s="253"/>
      <c r="BC25" s="253"/>
      <c r="BD25" s="253"/>
      <c r="BE25" s="253"/>
      <c r="BF25" s="253"/>
      <c r="BG25" s="253"/>
      <c r="BH25" s="253"/>
      <c r="BI25" s="253"/>
      <c r="BJ25" s="253"/>
      <c r="BK25" s="253"/>
      <c r="BL25" s="253"/>
      <c r="BM25" s="253"/>
      <c r="BN25" s="253"/>
    </row>
    <row r="26" spans="1:71" ht="17.25" customHeight="1">
      <c r="A26" s="326">
        <v>3</v>
      </c>
      <c r="B26" s="333"/>
      <c r="C26" s="334"/>
      <c r="D26" s="334"/>
      <c r="E26" s="334"/>
      <c r="F26" s="335"/>
      <c r="G26" s="256"/>
      <c r="H26" s="257"/>
      <c r="I26" s="257"/>
      <c r="J26" s="257"/>
      <c r="K26" s="257"/>
      <c r="L26" s="257"/>
      <c r="M26" s="257"/>
      <c r="N26" s="257"/>
      <c r="O26" s="257"/>
      <c r="P26" s="257"/>
      <c r="Q26" s="257"/>
      <c r="R26" s="257"/>
      <c r="S26" s="258"/>
      <c r="T26" s="141"/>
      <c r="U26" s="142"/>
      <c r="V26" s="142"/>
      <c r="W26" s="142"/>
      <c r="X26" s="142"/>
      <c r="Y26" s="142"/>
      <c r="Z26" s="142"/>
      <c r="AA26" s="142"/>
      <c r="AB26" s="142"/>
      <c r="AC26" s="142"/>
      <c r="AD26" s="142"/>
      <c r="AE26" s="170"/>
      <c r="AF26" s="171"/>
      <c r="AG26" s="171"/>
      <c r="AH26" s="171"/>
      <c r="AI26" s="171"/>
      <c r="AJ26" s="171"/>
      <c r="AK26" s="26" t="s">
        <v>40</v>
      </c>
      <c r="AL26" s="138"/>
      <c r="AM26" s="139"/>
      <c r="AN26" s="139"/>
      <c r="AO26" s="139"/>
      <c r="AP26" s="139"/>
      <c r="AQ26" s="139"/>
      <c r="AR26" s="139"/>
      <c r="AS26" s="139"/>
      <c r="AT26" s="139"/>
      <c r="AU26" s="139"/>
      <c r="AV26" s="139"/>
      <c r="AW26" s="140"/>
      <c r="AX26" s="253"/>
      <c r="AY26" s="253"/>
      <c r="AZ26" s="253"/>
      <c r="BA26" s="253"/>
      <c r="BB26" s="253"/>
      <c r="BC26" s="253"/>
      <c r="BD26" s="253"/>
      <c r="BE26" s="253"/>
      <c r="BF26" s="253"/>
      <c r="BG26" s="253"/>
      <c r="BH26" s="253"/>
      <c r="BI26" s="253"/>
      <c r="BJ26" s="253"/>
      <c r="BK26" s="253"/>
      <c r="BL26" s="253"/>
      <c r="BM26" s="253"/>
      <c r="BN26" s="253"/>
    </row>
    <row r="27" spans="1:71" ht="17.25" customHeight="1">
      <c r="A27" s="326"/>
      <c r="B27" s="336"/>
      <c r="C27" s="337"/>
      <c r="D27" s="337"/>
      <c r="E27" s="337"/>
      <c r="F27" s="338"/>
      <c r="G27" s="254" t="s">
        <v>82</v>
      </c>
      <c r="H27" s="152"/>
      <c r="I27" s="152"/>
      <c r="J27" s="152"/>
      <c r="K27" s="55" t="s">
        <v>31</v>
      </c>
      <c r="L27" s="150"/>
      <c r="M27" s="150"/>
      <c r="N27" s="150"/>
      <c r="O27" s="150"/>
      <c r="P27" s="150"/>
      <c r="Q27" s="150"/>
      <c r="R27" s="150"/>
      <c r="S27" s="54" t="s">
        <v>30</v>
      </c>
      <c r="T27" s="144"/>
      <c r="U27" s="145"/>
      <c r="V27" s="145"/>
      <c r="W27" s="145"/>
      <c r="X27" s="145"/>
      <c r="Y27" s="145"/>
      <c r="Z27" s="145"/>
      <c r="AA27" s="145"/>
      <c r="AB27" s="145"/>
      <c r="AC27" s="145"/>
      <c r="AD27" s="145"/>
      <c r="AE27" s="147"/>
      <c r="AF27" s="148"/>
      <c r="AG27" s="148"/>
      <c r="AH27" s="148"/>
      <c r="AI27" s="148"/>
      <c r="AJ27" s="148"/>
      <c r="AK27" s="27" t="s">
        <v>47</v>
      </c>
      <c r="AL27" s="149" t="s">
        <v>81</v>
      </c>
      <c r="AM27" s="150"/>
      <c r="AN27" s="150"/>
      <c r="AO27" s="150"/>
      <c r="AP27" s="150"/>
      <c r="AQ27" s="151" t="s">
        <v>58</v>
      </c>
      <c r="AR27" s="151"/>
      <c r="AS27" s="151"/>
      <c r="AT27" s="23" t="s">
        <v>39</v>
      </c>
      <c r="AU27" s="152" t="s">
        <v>58</v>
      </c>
      <c r="AV27" s="152"/>
      <c r="AW27" s="152"/>
      <c r="AX27" s="253"/>
      <c r="AY27" s="253"/>
      <c r="AZ27" s="253"/>
      <c r="BA27" s="253"/>
      <c r="BB27" s="253"/>
      <c r="BC27" s="253"/>
      <c r="BD27" s="253"/>
      <c r="BE27" s="253"/>
      <c r="BF27" s="253"/>
      <c r="BG27" s="253"/>
      <c r="BH27" s="253"/>
      <c r="BI27" s="253"/>
      <c r="BJ27" s="253"/>
      <c r="BK27" s="253"/>
      <c r="BL27" s="253"/>
      <c r="BM27" s="253"/>
      <c r="BN27" s="253"/>
    </row>
    <row r="28" spans="1:71" ht="17.25" customHeight="1">
      <c r="A28" s="326">
        <v>4</v>
      </c>
      <c r="B28" s="333"/>
      <c r="C28" s="334"/>
      <c r="D28" s="334"/>
      <c r="E28" s="334"/>
      <c r="F28" s="335"/>
      <c r="G28" s="256"/>
      <c r="H28" s="257"/>
      <c r="I28" s="257"/>
      <c r="J28" s="257"/>
      <c r="K28" s="257"/>
      <c r="L28" s="257"/>
      <c r="M28" s="257"/>
      <c r="N28" s="257"/>
      <c r="O28" s="257"/>
      <c r="P28" s="257"/>
      <c r="Q28" s="257"/>
      <c r="R28" s="257"/>
      <c r="S28" s="258"/>
      <c r="T28" s="141"/>
      <c r="U28" s="142"/>
      <c r="V28" s="142"/>
      <c r="W28" s="142"/>
      <c r="X28" s="142"/>
      <c r="Y28" s="142"/>
      <c r="Z28" s="142"/>
      <c r="AA28" s="142"/>
      <c r="AB28" s="142"/>
      <c r="AC28" s="142"/>
      <c r="AD28" s="142"/>
      <c r="AE28" s="170"/>
      <c r="AF28" s="171"/>
      <c r="AG28" s="171"/>
      <c r="AH28" s="171"/>
      <c r="AI28" s="171"/>
      <c r="AJ28" s="171"/>
      <c r="AK28" s="26" t="s">
        <v>40</v>
      </c>
      <c r="AL28" s="138"/>
      <c r="AM28" s="139"/>
      <c r="AN28" s="139"/>
      <c r="AO28" s="139"/>
      <c r="AP28" s="139"/>
      <c r="AQ28" s="139"/>
      <c r="AR28" s="139"/>
      <c r="AS28" s="139"/>
      <c r="AT28" s="139"/>
      <c r="AU28" s="139"/>
      <c r="AV28" s="139"/>
      <c r="AW28" s="140"/>
      <c r="AX28" s="253"/>
      <c r="AY28" s="253"/>
      <c r="AZ28" s="253"/>
      <c r="BA28" s="253"/>
      <c r="BB28" s="253"/>
      <c r="BC28" s="253"/>
      <c r="BD28" s="253"/>
      <c r="BE28" s="253"/>
      <c r="BF28" s="253"/>
      <c r="BG28" s="253"/>
      <c r="BH28" s="253"/>
      <c r="BI28" s="253"/>
      <c r="BJ28" s="253"/>
      <c r="BK28" s="253"/>
      <c r="BL28" s="253"/>
      <c r="BM28" s="253"/>
      <c r="BN28" s="253"/>
    </row>
    <row r="29" spans="1:71" ht="17.25" customHeight="1">
      <c r="A29" s="326"/>
      <c r="B29" s="336"/>
      <c r="C29" s="337"/>
      <c r="D29" s="337"/>
      <c r="E29" s="337"/>
      <c r="F29" s="338"/>
      <c r="G29" s="254" t="s">
        <v>82</v>
      </c>
      <c r="H29" s="152"/>
      <c r="I29" s="152"/>
      <c r="J29" s="152"/>
      <c r="K29" s="55" t="s">
        <v>31</v>
      </c>
      <c r="L29" s="150"/>
      <c r="M29" s="150"/>
      <c r="N29" s="150"/>
      <c r="O29" s="150"/>
      <c r="P29" s="150"/>
      <c r="Q29" s="150"/>
      <c r="R29" s="150"/>
      <c r="S29" s="54" t="s">
        <v>30</v>
      </c>
      <c r="T29" s="144"/>
      <c r="U29" s="145"/>
      <c r="V29" s="145"/>
      <c r="W29" s="145"/>
      <c r="X29" s="145"/>
      <c r="Y29" s="145"/>
      <c r="Z29" s="145"/>
      <c r="AA29" s="145"/>
      <c r="AB29" s="145"/>
      <c r="AC29" s="145"/>
      <c r="AD29" s="145"/>
      <c r="AE29" s="147"/>
      <c r="AF29" s="148"/>
      <c r="AG29" s="148"/>
      <c r="AH29" s="148"/>
      <c r="AI29" s="148"/>
      <c r="AJ29" s="148"/>
      <c r="AK29" s="27" t="s">
        <v>47</v>
      </c>
      <c r="AL29" s="149" t="s">
        <v>81</v>
      </c>
      <c r="AM29" s="150"/>
      <c r="AN29" s="150"/>
      <c r="AO29" s="150"/>
      <c r="AP29" s="150"/>
      <c r="AQ29" s="151" t="s">
        <v>58</v>
      </c>
      <c r="AR29" s="151"/>
      <c r="AS29" s="151"/>
      <c r="AT29" s="23" t="s">
        <v>39</v>
      </c>
      <c r="AU29" s="152" t="s">
        <v>58</v>
      </c>
      <c r="AV29" s="152"/>
      <c r="AW29" s="152"/>
      <c r="AX29" s="253"/>
      <c r="AY29" s="253"/>
      <c r="AZ29" s="253"/>
      <c r="BA29" s="253"/>
      <c r="BB29" s="253"/>
      <c r="BC29" s="253"/>
      <c r="BD29" s="253"/>
      <c r="BE29" s="253"/>
      <c r="BF29" s="253"/>
      <c r="BG29" s="253"/>
      <c r="BH29" s="253"/>
      <c r="BI29" s="253"/>
      <c r="BJ29" s="253"/>
      <c r="BK29" s="253"/>
      <c r="BL29" s="253"/>
      <c r="BM29" s="253"/>
      <c r="BN29" s="253"/>
    </row>
    <row r="30" spans="1:71" ht="17.25" customHeight="1">
      <c r="A30" s="326">
        <v>5</v>
      </c>
      <c r="B30" s="333"/>
      <c r="C30" s="334"/>
      <c r="D30" s="334"/>
      <c r="E30" s="334"/>
      <c r="F30" s="335"/>
      <c r="G30" s="256"/>
      <c r="H30" s="257"/>
      <c r="I30" s="257"/>
      <c r="J30" s="257"/>
      <c r="K30" s="257"/>
      <c r="L30" s="257"/>
      <c r="M30" s="257"/>
      <c r="N30" s="257"/>
      <c r="O30" s="257"/>
      <c r="P30" s="257"/>
      <c r="Q30" s="257"/>
      <c r="R30" s="257"/>
      <c r="S30" s="258"/>
      <c r="T30" s="141"/>
      <c r="U30" s="142"/>
      <c r="V30" s="142"/>
      <c r="W30" s="142"/>
      <c r="X30" s="142"/>
      <c r="Y30" s="142"/>
      <c r="Z30" s="142"/>
      <c r="AA30" s="142"/>
      <c r="AB30" s="142"/>
      <c r="AC30" s="142"/>
      <c r="AD30" s="142"/>
      <c r="AE30" s="170"/>
      <c r="AF30" s="171"/>
      <c r="AG30" s="171"/>
      <c r="AH30" s="171"/>
      <c r="AI30" s="171"/>
      <c r="AJ30" s="171"/>
      <c r="AK30" s="26" t="s">
        <v>40</v>
      </c>
      <c r="AL30" s="138"/>
      <c r="AM30" s="139"/>
      <c r="AN30" s="139"/>
      <c r="AO30" s="139"/>
      <c r="AP30" s="139"/>
      <c r="AQ30" s="139"/>
      <c r="AR30" s="139"/>
      <c r="AS30" s="139"/>
      <c r="AT30" s="139"/>
      <c r="AU30" s="139"/>
      <c r="AV30" s="139"/>
      <c r="AW30" s="140"/>
      <c r="AX30" s="253"/>
      <c r="AY30" s="253"/>
      <c r="AZ30" s="253"/>
      <c r="BA30" s="253"/>
      <c r="BB30" s="253"/>
      <c r="BC30" s="253"/>
      <c r="BD30" s="253"/>
      <c r="BE30" s="253"/>
      <c r="BF30" s="253"/>
      <c r="BG30" s="253"/>
      <c r="BH30" s="253"/>
      <c r="BI30" s="253"/>
      <c r="BJ30" s="253"/>
      <c r="BK30" s="253"/>
      <c r="BL30" s="253"/>
      <c r="BM30" s="253"/>
      <c r="BN30" s="253"/>
    </row>
    <row r="31" spans="1:71" ht="17.25" customHeight="1">
      <c r="A31" s="326"/>
      <c r="B31" s="336"/>
      <c r="C31" s="337"/>
      <c r="D31" s="337"/>
      <c r="E31" s="337"/>
      <c r="F31" s="338"/>
      <c r="G31" s="254" t="s">
        <v>82</v>
      </c>
      <c r="H31" s="152"/>
      <c r="I31" s="152"/>
      <c r="J31" s="152"/>
      <c r="K31" s="55" t="s">
        <v>31</v>
      </c>
      <c r="L31" s="150"/>
      <c r="M31" s="150"/>
      <c r="N31" s="150"/>
      <c r="O31" s="150"/>
      <c r="P31" s="150"/>
      <c r="Q31" s="150"/>
      <c r="R31" s="150"/>
      <c r="S31" s="54" t="s">
        <v>30</v>
      </c>
      <c r="T31" s="144"/>
      <c r="U31" s="145"/>
      <c r="V31" s="145"/>
      <c r="W31" s="145"/>
      <c r="X31" s="145"/>
      <c r="Y31" s="145"/>
      <c r="Z31" s="145"/>
      <c r="AA31" s="145"/>
      <c r="AB31" s="145"/>
      <c r="AC31" s="145"/>
      <c r="AD31" s="145"/>
      <c r="AE31" s="147"/>
      <c r="AF31" s="148"/>
      <c r="AG31" s="148"/>
      <c r="AH31" s="148"/>
      <c r="AI31" s="148"/>
      <c r="AJ31" s="148"/>
      <c r="AK31" s="27" t="s">
        <v>47</v>
      </c>
      <c r="AL31" s="149" t="s">
        <v>81</v>
      </c>
      <c r="AM31" s="150"/>
      <c r="AN31" s="150"/>
      <c r="AO31" s="150"/>
      <c r="AP31" s="150"/>
      <c r="AQ31" s="151" t="s">
        <v>58</v>
      </c>
      <c r="AR31" s="151"/>
      <c r="AS31" s="151"/>
      <c r="AT31" s="23" t="s">
        <v>39</v>
      </c>
      <c r="AU31" s="152" t="s">
        <v>58</v>
      </c>
      <c r="AV31" s="152"/>
      <c r="AW31" s="152"/>
      <c r="AX31" s="253"/>
      <c r="AY31" s="253"/>
      <c r="AZ31" s="253"/>
      <c r="BA31" s="253"/>
      <c r="BB31" s="253"/>
      <c r="BC31" s="253"/>
      <c r="BD31" s="253"/>
      <c r="BE31" s="253"/>
      <c r="BF31" s="253"/>
      <c r="BG31" s="253"/>
      <c r="BH31" s="253"/>
      <c r="BI31" s="253"/>
      <c r="BJ31" s="253"/>
      <c r="BK31" s="253"/>
      <c r="BL31" s="253"/>
      <c r="BM31" s="253"/>
      <c r="BN31" s="253"/>
    </row>
    <row r="32" spans="1:71" ht="6.75" customHeight="1">
      <c r="BH32" s="75"/>
      <c r="BP32" s="75"/>
      <c r="BQ32" s="75"/>
      <c r="BR32" s="75"/>
      <c r="BS32" s="75"/>
    </row>
    <row r="33" spans="1:66" ht="17.25" customHeight="1">
      <c r="A33" s="132" t="s">
        <v>65</v>
      </c>
      <c r="B33" s="133"/>
      <c r="C33" s="133"/>
      <c r="D33" s="133"/>
      <c r="E33" s="133"/>
      <c r="F33" s="134"/>
      <c r="G33" s="21" t="s">
        <v>18</v>
      </c>
      <c r="H33" s="425" t="s">
        <v>111</v>
      </c>
      <c r="I33" s="425"/>
      <c r="J33" s="425"/>
      <c r="K33" s="425"/>
      <c r="L33" s="425"/>
      <c r="M33" s="425"/>
      <c r="N33" s="425"/>
      <c r="O33" s="20" t="s">
        <v>14</v>
      </c>
      <c r="P33" s="425" t="s">
        <v>112</v>
      </c>
      <c r="Q33" s="425"/>
      <c r="R33" s="425"/>
      <c r="S33" s="425"/>
      <c r="T33" s="425"/>
      <c r="U33" s="425"/>
      <c r="V33" s="425"/>
      <c r="W33" s="19" t="s">
        <v>13</v>
      </c>
      <c r="X33" s="425" t="s">
        <v>104</v>
      </c>
      <c r="Y33" s="425"/>
      <c r="Z33" s="425"/>
      <c r="AA33" s="425"/>
      <c r="AB33" s="425"/>
      <c r="AC33" s="425"/>
      <c r="AD33" s="18" t="s">
        <v>12</v>
      </c>
      <c r="AE33" s="20" t="s">
        <v>16</v>
      </c>
      <c r="AF33" s="129"/>
      <c r="AG33" s="129"/>
      <c r="AH33" s="129"/>
      <c r="AI33" s="129"/>
      <c r="AJ33" s="129"/>
      <c r="AK33" s="129"/>
      <c r="AL33" s="129"/>
      <c r="AM33" s="20" t="s">
        <v>14</v>
      </c>
      <c r="AN33" s="129"/>
      <c r="AO33" s="129"/>
      <c r="AP33" s="129"/>
      <c r="AQ33" s="129"/>
      <c r="AR33" s="129"/>
      <c r="AS33" s="129"/>
      <c r="AT33" s="129"/>
      <c r="AU33" s="19" t="s">
        <v>13</v>
      </c>
      <c r="AV33" s="129"/>
      <c r="AW33" s="129"/>
      <c r="AX33" s="129"/>
      <c r="AY33" s="129"/>
      <c r="AZ33" s="129"/>
      <c r="BA33" s="129"/>
      <c r="BB33" s="18" t="s">
        <v>12</v>
      </c>
      <c r="BC33" s="53"/>
      <c r="BD33" s="53"/>
      <c r="BE33" s="130" t="s">
        <v>11</v>
      </c>
      <c r="BF33" s="130"/>
      <c r="BG33" s="130"/>
      <c r="BH33" s="130"/>
      <c r="BI33" s="130"/>
      <c r="BJ33" s="53"/>
      <c r="BK33" s="53"/>
      <c r="BL33" s="53"/>
      <c r="BM33" s="53"/>
      <c r="BN33" s="52"/>
    </row>
    <row r="34" spans="1:66" ht="17.25" customHeight="1">
      <c r="A34" s="135"/>
      <c r="B34" s="136"/>
      <c r="C34" s="136"/>
      <c r="D34" s="136"/>
      <c r="E34" s="136"/>
      <c r="F34" s="137"/>
      <c r="G34" s="17" t="s">
        <v>17</v>
      </c>
      <c r="H34" s="424" t="s">
        <v>112</v>
      </c>
      <c r="I34" s="424"/>
      <c r="J34" s="424"/>
      <c r="K34" s="424"/>
      <c r="L34" s="424"/>
      <c r="M34" s="424"/>
      <c r="N34" s="424"/>
      <c r="O34" s="16" t="s">
        <v>14</v>
      </c>
      <c r="P34" s="424" t="s">
        <v>113</v>
      </c>
      <c r="Q34" s="424"/>
      <c r="R34" s="424"/>
      <c r="S34" s="424"/>
      <c r="T34" s="424"/>
      <c r="U34" s="424"/>
      <c r="V34" s="424"/>
      <c r="W34" s="15" t="s">
        <v>13</v>
      </c>
      <c r="X34" s="424" t="s">
        <v>114</v>
      </c>
      <c r="Y34" s="424"/>
      <c r="Z34" s="424"/>
      <c r="AA34" s="424"/>
      <c r="AB34" s="424"/>
      <c r="AC34" s="424"/>
      <c r="AD34" s="14" t="s">
        <v>12</v>
      </c>
      <c r="AE34" s="16" t="s">
        <v>15</v>
      </c>
      <c r="AF34" s="131"/>
      <c r="AG34" s="131"/>
      <c r="AH34" s="131"/>
      <c r="AI34" s="131"/>
      <c r="AJ34" s="131"/>
      <c r="AK34" s="131"/>
      <c r="AL34" s="131"/>
      <c r="AM34" s="16" t="s">
        <v>14</v>
      </c>
      <c r="AN34" s="131"/>
      <c r="AO34" s="131"/>
      <c r="AP34" s="131"/>
      <c r="AQ34" s="131"/>
      <c r="AR34" s="131"/>
      <c r="AS34" s="131"/>
      <c r="AT34" s="131"/>
      <c r="AU34" s="15" t="s">
        <v>13</v>
      </c>
      <c r="AV34" s="131"/>
      <c r="AW34" s="131"/>
      <c r="AX34" s="131"/>
      <c r="AY34" s="131"/>
      <c r="AZ34" s="131"/>
      <c r="BA34" s="131"/>
      <c r="BB34" s="14" t="s">
        <v>12</v>
      </c>
      <c r="BC34" s="8" t="s">
        <v>46</v>
      </c>
      <c r="BD34" s="51"/>
      <c r="BE34" s="51"/>
      <c r="BF34" s="51"/>
      <c r="BG34" s="51"/>
      <c r="BH34" s="51"/>
      <c r="BI34" s="51"/>
      <c r="BJ34" s="51"/>
      <c r="BK34" s="51"/>
      <c r="BL34" s="51"/>
      <c r="BM34" s="51"/>
      <c r="BN34" s="50"/>
    </row>
    <row r="35" spans="1:66" ht="16.5" customHeight="1">
      <c r="P35" s="25"/>
      <c r="BC35" s="342" t="s">
        <v>61</v>
      </c>
      <c r="BD35" s="342"/>
      <c r="BE35" s="342"/>
      <c r="BF35" s="342"/>
      <c r="BG35" s="342"/>
      <c r="BH35" s="342"/>
      <c r="BI35" s="342"/>
      <c r="BJ35" s="342"/>
      <c r="BK35" s="342"/>
      <c r="BL35" s="342"/>
      <c r="BM35" s="342"/>
      <c r="BN35" s="342"/>
    </row>
    <row r="36" spans="1:66" ht="6.75" customHeight="1">
      <c r="P36" s="25"/>
      <c r="BH36" s="75"/>
    </row>
    <row r="37" spans="1:66" ht="12.75" customHeight="1">
      <c r="A37" s="123" t="s">
        <v>68</v>
      </c>
      <c r="B37" s="123"/>
      <c r="C37" s="123"/>
      <c r="D37" s="123"/>
      <c r="E37" s="123"/>
      <c r="F37" s="123" t="s">
        <v>45</v>
      </c>
      <c r="G37" s="123"/>
      <c r="H37" s="123"/>
      <c r="I37" s="123"/>
      <c r="J37" s="123"/>
      <c r="K37" s="123"/>
      <c r="BH37" s="75"/>
    </row>
    <row r="38" spans="1:66" ht="12.75" customHeight="1">
      <c r="A38" s="123"/>
      <c r="B38" s="123"/>
      <c r="C38" s="123"/>
      <c r="D38" s="123"/>
      <c r="E38" s="123"/>
      <c r="F38" s="123"/>
      <c r="G38" s="123"/>
      <c r="H38" s="123"/>
      <c r="I38" s="123"/>
      <c r="J38" s="123"/>
      <c r="K38" s="123"/>
      <c r="BH38" s="75"/>
    </row>
    <row r="39" spans="1:66" ht="6.75" customHeight="1"/>
    <row r="40" spans="1:66" ht="18.75" customHeight="1">
      <c r="A40" s="132" t="s">
        <v>25</v>
      </c>
      <c r="B40" s="185"/>
      <c r="C40" s="185"/>
      <c r="D40" s="185"/>
      <c r="E40" s="185"/>
      <c r="F40" s="186"/>
      <c r="G40" s="467" t="s">
        <v>24</v>
      </c>
      <c r="H40" s="468"/>
      <c r="I40" s="468"/>
      <c r="J40" s="468"/>
      <c r="K40" s="468"/>
      <c r="L40" s="468"/>
      <c r="M40" s="468"/>
      <c r="N40" s="468"/>
      <c r="O40" s="469" t="s">
        <v>115</v>
      </c>
      <c r="P40" s="469"/>
      <c r="Q40" s="469"/>
      <c r="R40" s="469"/>
      <c r="S40" s="469"/>
      <c r="T40" s="469"/>
      <c r="U40" s="469"/>
      <c r="V40" s="469"/>
      <c r="W40" s="469"/>
      <c r="X40" s="469"/>
      <c r="Y40" s="469"/>
      <c r="Z40" s="469"/>
      <c r="AA40" s="469"/>
      <c r="AB40" s="469"/>
      <c r="AC40" s="469"/>
      <c r="AD40" s="469"/>
      <c r="AE40" s="469"/>
      <c r="AF40" s="469"/>
      <c r="AG40" s="470"/>
      <c r="BH40" s="75"/>
    </row>
    <row r="41" spans="1:66" ht="18.75" customHeight="1">
      <c r="A41" s="343"/>
      <c r="B41" s="344"/>
      <c r="C41" s="344"/>
      <c r="D41" s="344"/>
      <c r="E41" s="344"/>
      <c r="F41" s="345"/>
      <c r="G41" s="465" t="str">
        <f>IF(OR(O40="基盤研究費",O40="自己負担（精算なし）",O40=""),"",IF(O40="大学運営経費","予算名称",IF(COUNTIF(O40,"*科研費*"),"種目",IF(O40="先方負担","負担種別（全額/一部）",IF(O40="その他","詳細","資金(ﾌﾟﾛｼﾞｪｸﾄ)名称")))))</f>
        <v>予算名称</v>
      </c>
      <c r="H41" s="466"/>
      <c r="I41" s="466"/>
      <c r="J41" s="466"/>
      <c r="K41" s="466"/>
      <c r="L41" s="466"/>
      <c r="M41" s="466"/>
      <c r="N41" s="466"/>
      <c r="O41" s="471" t="s">
        <v>116</v>
      </c>
      <c r="P41" s="471"/>
      <c r="Q41" s="471"/>
      <c r="R41" s="471"/>
      <c r="S41" s="471"/>
      <c r="T41" s="471"/>
      <c r="U41" s="471"/>
      <c r="V41" s="471"/>
      <c r="W41" s="471"/>
      <c r="X41" s="471"/>
      <c r="Y41" s="471"/>
      <c r="Z41" s="471"/>
      <c r="AA41" s="471"/>
      <c r="AB41" s="471"/>
      <c r="AC41" s="471"/>
      <c r="AD41" s="471"/>
      <c r="AE41" s="471"/>
      <c r="AF41" s="471"/>
      <c r="AG41" s="472"/>
      <c r="AH41" s="42"/>
      <c r="BH41" s="75"/>
    </row>
    <row r="42" spans="1:66" ht="17.25" customHeight="1">
      <c r="A42" s="343"/>
      <c r="B42" s="344"/>
      <c r="C42" s="344"/>
      <c r="D42" s="344"/>
      <c r="E42" s="344"/>
      <c r="F42" s="345"/>
      <c r="G42" s="465" t="str">
        <f>+IF(OR(O40="基盤研究費",O40="大学運営経費",O40="自己負担（精算なし）",O40="その他",O40=""),"",IF(O40="先方負担","先方負担先名",IF(COUNTIF(O40,"*科研費*"),"研究代表者名","経費区分（直接/間接）")))</f>
        <v/>
      </c>
      <c r="H42" s="466"/>
      <c r="I42" s="466"/>
      <c r="J42" s="466"/>
      <c r="K42" s="466"/>
      <c r="L42" s="466"/>
      <c r="M42" s="466"/>
      <c r="N42" s="466"/>
      <c r="O42" s="352"/>
      <c r="P42" s="352"/>
      <c r="Q42" s="352"/>
      <c r="R42" s="352"/>
      <c r="S42" s="352"/>
      <c r="T42" s="352"/>
      <c r="U42" s="352"/>
      <c r="V42" s="352"/>
      <c r="W42" s="352"/>
      <c r="X42" s="352"/>
      <c r="Y42" s="352"/>
      <c r="Z42" s="352"/>
      <c r="AA42" s="352"/>
      <c r="AB42" s="352"/>
      <c r="AC42" s="352"/>
      <c r="AD42" s="352"/>
      <c r="AE42" s="352"/>
      <c r="AF42" s="352"/>
      <c r="AG42" s="353"/>
      <c r="AH42" s="42"/>
      <c r="BH42" s="75"/>
    </row>
    <row r="43" spans="1:66" ht="17.25" customHeight="1">
      <c r="A43" s="343"/>
      <c r="B43" s="344"/>
      <c r="C43" s="344"/>
      <c r="D43" s="344"/>
      <c r="E43" s="344"/>
      <c r="F43" s="345"/>
      <c r="G43" s="465" t="str">
        <f>+IF(OR(O40="基盤研究費",O40="大学運営経費",O40="自己負担（精算なし）",O40="その他",O40=""),"",IF(O40="先方負担","先方負担内容",IF(COUNTIF(O40,"*科研費*"),"所管（ﾌﾟﾛｼﾞｪｸﾄ）名称","ﾌﾟﾛｼﾞｪｸﾄNo.(ｺｰﾄﾞ)")))</f>
        <v/>
      </c>
      <c r="H43" s="466"/>
      <c r="I43" s="466"/>
      <c r="J43" s="466"/>
      <c r="K43" s="466"/>
      <c r="L43" s="466"/>
      <c r="M43" s="466"/>
      <c r="N43" s="466"/>
      <c r="O43" s="352"/>
      <c r="P43" s="352"/>
      <c r="Q43" s="352"/>
      <c r="R43" s="352"/>
      <c r="S43" s="352"/>
      <c r="T43" s="352"/>
      <c r="U43" s="352"/>
      <c r="V43" s="352"/>
      <c r="W43" s="352"/>
      <c r="X43" s="352"/>
      <c r="Y43" s="352"/>
      <c r="Z43" s="352"/>
      <c r="AA43" s="352"/>
      <c r="AB43" s="352"/>
      <c r="AC43" s="352"/>
      <c r="AD43" s="352"/>
      <c r="AE43" s="352"/>
      <c r="AF43" s="352"/>
      <c r="AG43" s="353"/>
      <c r="AH43" s="42"/>
      <c r="BH43" s="75"/>
    </row>
    <row r="44" spans="1:66" ht="17.25" customHeight="1">
      <c r="A44" s="343"/>
      <c r="B44" s="344"/>
      <c r="C44" s="344"/>
      <c r="D44" s="344"/>
      <c r="E44" s="344"/>
      <c r="F44" s="345"/>
      <c r="G44" s="465" t="str">
        <f>IF(COUNTIF(O40,"*科研費*"),"ﾌﾟﾛｼﾞｪｸﾄNo.(ｺｰﾄﾞ)","")</f>
        <v/>
      </c>
      <c r="H44" s="466"/>
      <c r="I44" s="466"/>
      <c r="J44" s="466"/>
      <c r="K44" s="466"/>
      <c r="L44" s="466"/>
      <c r="M44" s="466"/>
      <c r="N44" s="466"/>
      <c r="O44" s="352"/>
      <c r="P44" s="352"/>
      <c r="Q44" s="352"/>
      <c r="R44" s="352"/>
      <c r="S44" s="352"/>
      <c r="T44" s="352"/>
      <c r="U44" s="352"/>
      <c r="V44" s="352"/>
      <c r="W44" s="352"/>
      <c r="X44" s="352"/>
      <c r="Y44" s="352"/>
      <c r="Z44" s="352"/>
      <c r="AA44" s="352"/>
      <c r="AB44" s="352"/>
      <c r="AC44" s="352"/>
      <c r="AD44" s="352"/>
      <c r="AE44" s="352"/>
      <c r="AF44" s="352"/>
      <c r="AG44" s="353"/>
      <c r="AH44" s="42"/>
      <c r="BH44" s="75"/>
    </row>
    <row r="45" spans="1:66" ht="17.25" customHeight="1">
      <c r="A45" s="187"/>
      <c r="B45" s="188"/>
      <c r="C45" s="188"/>
      <c r="D45" s="188"/>
      <c r="E45" s="188"/>
      <c r="F45" s="189"/>
      <c r="G45" s="354" t="s">
        <v>22</v>
      </c>
      <c r="H45" s="355"/>
      <c r="I45" s="355"/>
      <c r="J45" s="355"/>
      <c r="K45" s="355"/>
      <c r="L45" s="355"/>
      <c r="M45" s="355"/>
      <c r="N45" s="355"/>
      <c r="O45" s="356"/>
      <c r="P45" s="356"/>
      <c r="Q45" s="356"/>
      <c r="R45" s="356"/>
      <c r="S45" s="356"/>
      <c r="T45" s="356"/>
      <c r="U45" s="356"/>
      <c r="V45" s="356"/>
      <c r="W45" s="356"/>
      <c r="X45" s="356"/>
      <c r="Y45" s="356"/>
      <c r="Z45" s="356"/>
      <c r="AA45" s="356"/>
      <c r="AB45" s="356"/>
      <c r="AC45" s="356"/>
      <c r="AD45" s="356"/>
      <c r="AE45" s="356"/>
      <c r="AF45" s="356"/>
      <c r="AG45" s="357"/>
      <c r="AH45" s="42"/>
      <c r="BH45" s="75"/>
    </row>
    <row r="46" spans="1:66" ht="17.25" customHeight="1">
      <c r="A46" s="132" t="s">
        <v>21</v>
      </c>
      <c r="B46" s="185"/>
      <c r="C46" s="185"/>
      <c r="D46" s="185"/>
      <c r="E46" s="185"/>
      <c r="F46" s="186"/>
      <c r="G46" s="71"/>
      <c r="H46" s="71"/>
      <c r="I46" s="278" t="s">
        <v>20</v>
      </c>
      <c r="J46" s="278"/>
      <c r="K46" s="278"/>
      <c r="L46" s="278"/>
      <c r="M46" s="278"/>
      <c r="N46" s="278"/>
      <c r="O46" s="71"/>
      <c r="P46" s="71"/>
      <c r="Q46" s="278" t="s">
        <v>19</v>
      </c>
      <c r="R46" s="278"/>
      <c r="S46" s="278"/>
      <c r="T46" s="278"/>
      <c r="U46" s="278"/>
      <c r="V46" s="278"/>
      <c r="W46" s="71"/>
      <c r="X46" s="71"/>
      <c r="Y46" s="71"/>
      <c r="Z46" s="71"/>
      <c r="AA46" s="71"/>
      <c r="AB46" s="71"/>
      <c r="AC46" s="71"/>
      <c r="AD46" s="71"/>
      <c r="AE46" s="71"/>
      <c r="AF46" s="66"/>
      <c r="AG46" s="76"/>
      <c r="AH46" s="42"/>
      <c r="BH46" s="75"/>
    </row>
    <row r="47" spans="1:66" ht="17.25" customHeight="1">
      <c r="A47" s="343"/>
      <c r="B47" s="344"/>
      <c r="C47" s="344"/>
      <c r="D47" s="344"/>
      <c r="E47" s="344"/>
      <c r="F47" s="345"/>
      <c r="G47" s="362"/>
      <c r="H47" s="363"/>
      <c r="I47" s="340" t="s">
        <v>36</v>
      </c>
      <c r="J47" s="340"/>
      <c r="K47" s="340"/>
      <c r="L47" s="340"/>
      <c r="M47" s="340"/>
      <c r="N47" s="340"/>
      <c r="O47" s="363"/>
      <c r="P47" s="363"/>
      <c r="Q47" s="340" t="s">
        <v>35</v>
      </c>
      <c r="R47" s="340"/>
      <c r="S47" s="340"/>
      <c r="T47" s="340"/>
      <c r="U47" s="340"/>
      <c r="V47" s="340"/>
      <c r="W47" s="363"/>
      <c r="X47" s="363"/>
      <c r="Y47" s="73" t="s">
        <v>34</v>
      </c>
      <c r="Z47" s="73"/>
      <c r="AA47" s="73"/>
      <c r="AB47" s="73"/>
      <c r="AC47" s="73"/>
      <c r="AD47" s="73"/>
      <c r="AE47" s="73"/>
      <c r="AF47" s="47"/>
      <c r="AG47" s="46"/>
      <c r="AH47" s="42"/>
      <c r="BH47" s="75"/>
    </row>
    <row r="48" spans="1:66" ht="17.25" customHeight="1">
      <c r="A48" s="187"/>
      <c r="B48" s="188"/>
      <c r="C48" s="188"/>
      <c r="D48" s="188"/>
      <c r="E48" s="188"/>
      <c r="F48" s="189"/>
      <c r="G48" s="360"/>
      <c r="H48" s="361"/>
      <c r="I48" s="364" t="s">
        <v>7</v>
      </c>
      <c r="J48" s="364"/>
      <c r="K48" s="364"/>
      <c r="L48" s="364"/>
      <c r="M48" s="364"/>
      <c r="N48" s="364"/>
      <c r="O48" s="361"/>
      <c r="P48" s="361"/>
      <c r="Q48" s="364" t="s">
        <v>33</v>
      </c>
      <c r="R48" s="364"/>
      <c r="S48" s="364"/>
      <c r="T48" s="364"/>
      <c r="U48" s="364"/>
      <c r="V48" s="364"/>
      <c r="W48" s="361"/>
      <c r="X48" s="361"/>
      <c r="Y48" s="74" t="s">
        <v>32</v>
      </c>
      <c r="Z48" s="74"/>
      <c r="AA48" s="74"/>
      <c r="AB48" s="74"/>
      <c r="AC48" s="74"/>
      <c r="AD48" s="74"/>
      <c r="AE48" s="74"/>
      <c r="AF48" s="74"/>
      <c r="AG48" s="44"/>
      <c r="AH48" s="42"/>
      <c r="BH48" s="75"/>
    </row>
    <row r="49" spans="1:75" ht="17.25" customHeight="1">
      <c r="A49" s="132" t="s">
        <v>44</v>
      </c>
      <c r="B49" s="185"/>
      <c r="C49" s="185"/>
      <c r="D49" s="185"/>
      <c r="E49" s="185"/>
      <c r="F49" s="186"/>
      <c r="G49" s="277" t="s">
        <v>117</v>
      </c>
      <c r="H49" s="278"/>
      <c r="I49" s="278"/>
      <c r="J49" s="278"/>
      <c r="K49" s="278"/>
      <c r="L49" s="278"/>
      <c r="M49" s="278"/>
      <c r="N49" s="278"/>
      <c r="O49" s="278"/>
      <c r="P49" s="278"/>
      <c r="Q49" s="278"/>
      <c r="R49" s="278"/>
      <c r="S49" s="278"/>
      <c r="T49" s="278"/>
      <c r="U49" s="278"/>
      <c r="V49" s="278"/>
      <c r="W49" s="278"/>
      <c r="X49" s="278"/>
      <c r="Y49" s="278"/>
      <c r="Z49" s="278"/>
      <c r="AA49" s="278"/>
      <c r="AB49" s="278"/>
      <c r="AC49" s="278"/>
      <c r="AD49" s="278"/>
      <c r="AE49" s="278"/>
      <c r="AF49" s="278"/>
      <c r="AG49" s="279"/>
      <c r="AH49" s="42"/>
      <c r="BH49" s="75"/>
    </row>
    <row r="50" spans="1:75" ht="17.25" customHeight="1">
      <c r="A50" s="187"/>
      <c r="B50" s="188"/>
      <c r="C50" s="188"/>
      <c r="D50" s="188"/>
      <c r="E50" s="188"/>
      <c r="F50" s="189"/>
      <c r="G50" s="473"/>
      <c r="H50" s="364"/>
      <c r="I50" s="364"/>
      <c r="J50" s="364"/>
      <c r="K50" s="364"/>
      <c r="L50" s="364"/>
      <c r="M50" s="364"/>
      <c r="N50" s="364"/>
      <c r="O50" s="364"/>
      <c r="P50" s="364"/>
      <c r="Q50" s="364"/>
      <c r="R50" s="364"/>
      <c r="S50" s="364"/>
      <c r="T50" s="364"/>
      <c r="U50" s="364"/>
      <c r="V50" s="364"/>
      <c r="W50" s="364"/>
      <c r="X50" s="364"/>
      <c r="Y50" s="364"/>
      <c r="Z50" s="364"/>
      <c r="AA50" s="364"/>
      <c r="AB50" s="364"/>
      <c r="AC50" s="364"/>
      <c r="AD50" s="364"/>
      <c r="AE50" s="364"/>
      <c r="AF50" s="364"/>
      <c r="AG50" s="474"/>
      <c r="AH50" s="42"/>
      <c r="BH50" s="75"/>
    </row>
    <row r="51" spans="1:75" ht="17.25" customHeight="1">
      <c r="A51" s="132" t="s">
        <v>80</v>
      </c>
      <c r="B51" s="185"/>
      <c r="C51" s="185"/>
      <c r="D51" s="185"/>
      <c r="E51" s="185"/>
      <c r="F51" s="186"/>
      <c r="G51" s="71"/>
      <c r="H51" s="71"/>
      <c r="I51" s="278" t="s">
        <v>79</v>
      </c>
      <c r="J51" s="278"/>
      <c r="K51" s="278"/>
      <c r="L51" s="278"/>
      <c r="M51" s="278"/>
      <c r="N51" s="278"/>
      <c r="O51" s="278"/>
      <c r="P51" s="278"/>
      <c r="Q51" s="278"/>
      <c r="R51" s="278"/>
      <c r="S51" s="278"/>
      <c r="T51" s="278"/>
      <c r="U51" s="278"/>
      <c r="V51" s="278"/>
      <c r="W51" s="278"/>
      <c r="X51" s="278"/>
      <c r="Y51" s="278"/>
      <c r="Z51" s="278"/>
      <c r="AA51" s="278"/>
      <c r="AB51" s="278"/>
      <c r="AC51" s="278"/>
      <c r="AD51" s="278"/>
      <c r="AE51" s="278"/>
      <c r="AF51" s="278"/>
      <c r="AG51" s="279"/>
      <c r="AH51" s="42"/>
      <c r="BH51" s="75"/>
    </row>
    <row r="52" spans="1:75" ht="17.25" customHeight="1">
      <c r="A52" s="187"/>
      <c r="B52" s="188"/>
      <c r="C52" s="188"/>
      <c r="D52" s="188"/>
      <c r="E52" s="188"/>
      <c r="F52" s="189"/>
      <c r="G52" s="72"/>
      <c r="H52" s="72"/>
      <c r="I52" s="340" t="s">
        <v>78</v>
      </c>
      <c r="J52" s="340"/>
      <c r="K52" s="340"/>
      <c r="L52" s="340"/>
      <c r="M52" s="340"/>
      <c r="N52" s="340"/>
      <c r="O52" s="340"/>
      <c r="P52" s="340"/>
      <c r="Q52" s="340"/>
      <c r="R52" s="340"/>
      <c r="S52" s="340"/>
      <c r="T52" s="340"/>
      <c r="U52" s="340"/>
      <c r="V52" s="340"/>
      <c r="W52" s="340"/>
      <c r="X52" s="340"/>
      <c r="Y52" s="340"/>
      <c r="Z52" s="340"/>
      <c r="AA52" s="340"/>
      <c r="AB52" s="340"/>
      <c r="AC52" s="340"/>
      <c r="AD52" s="340"/>
      <c r="AE52" s="340"/>
      <c r="AF52" s="340"/>
      <c r="AG52" s="341"/>
      <c r="AH52" s="42"/>
      <c r="BH52" s="75"/>
    </row>
    <row r="53" spans="1:75" ht="17.25" customHeight="1">
      <c r="A53" s="326" t="s">
        <v>77</v>
      </c>
      <c r="B53" s="326"/>
      <c r="C53" s="326"/>
      <c r="D53" s="326"/>
      <c r="E53" s="326"/>
      <c r="F53" s="326"/>
      <c r="G53" s="253"/>
      <c r="H53" s="253"/>
      <c r="I53" s="253"/>
      <c r="J53" s="253"/>
      <c r="K53" s="253"/>
      <c r="L53" s="253"/>
      <c r="M53" s="253"/>
      <c r="N53" s="253"/>
      <c r="O53" s="253"/>
      <c r="P53" s="253"/>
      <c r="Q53" s="253"/>
      <c r="R53" s="253"/>
      <c r="S53" s="253"/>
      <c r="T53" s="253"/>
      <c r="U53" s="253"/>
      <c r="V53" s="253"/>
      <c r="W53" s="253"/>
      <c r="X53" s="253"/>
      <c r="Y53" s="253"/>
      <c r="Z53" s="253"/>
      <c r="AA53" s="253"/>
      <c r="AB53" s="253"/>
      <c r="AC53" s="253"/>
      <c r="AD53" s="253"/>
      <c r="AE53" s="253"/>
      <c r="AF53" s="253"/>
      <c r="AG53" s="253"/>
      <c r="AH53" s="42"/>
      <c r="BH53" s="75"/>
      <c r="BP53" s="75"/>
      <c r="BQ53" s="75"/>
      <c r="BR53" s="75"/>
      <c r="BS53" s="75"/>
    </row>
    <row r="54" spans="1:75" ht="17.25" customHeight="1">
      <c r="A54" s="326"/>
      <c r="B54" s="326"/>
      <c r="C54" s="326"/>
      <c r="D54" s="326"/>
      <c r="E54" s="326"/>
      <c r="F54" s="326"/>
      <c r="G54" s="253"/>
      <c r="H54" s="253"/>
      <c r="I54" s="253"/>
      <c r="J54" s="253"/>
      <c r="K54" s="253"/>
      <c r="L54" s="253"/>
      <c r="M54" s="253"/>
      <c r="N54" s="253"/>
      <c r="O54" s="253"/>
      <c r="P54" s="253"/>
      <c r="Q54" s="253"/>
      <c r="R54" s="253"/>
      <c r="S54" s="253"/>
      <c r="T54" s="253"/>
      <c r="U54" s="253"/>
      <c r="V54" s="253"/>
      <c r="W54" s="253"/>
      <c r="X54" s="253"/>
      <c r="Y54" s="253"/>
      <c r="Z54" s="253"/>
      <c r="AA54" s="253"/>
      <c r="AB54" s="253"/>
      <c r="AC54" s="253"/>
      <c r="AD54" s="253"/>
      <c r="AE54" s="253"/>
      <c r="AF54" s="253"/>
      <c r="AG54" s="253"/>
      <c r="AH54" s="42"/>
      <c r="BH54" s="75"/>
      <c r="BP54" s="75"/>
      <c r="BQ54" s="75"/>
      <c r="BR54" s="75"/>
      <c r="BS54" s="75"/>
    </row>
    <row r="55" spans="1:75" ht="17.25" customHeight="1">
      <c r="A55" s="326"/>
      <c r="B55" s="326"/>
      <c r="C55" s="326"/>
      <c r="D55" s="326"/>
      <c r="E55" s="326"/>
      <c r="F55" s="326"/>
      <c r="G55" s="253"/>
      <c r="H55" s="253"/>
      <c r="I55" s="253"/>
      <c r="J55" s="253"/>
      <c r="K55" s="253"/>
      <c r="L55" s="253"/>
      <c r="M55" s="253"/>
      <c r="N55" s="253"/>
      <c r="O55" s="253"/>
      <c r="P55" s="253"/>
      <c r="Q55" s="253"/>
      <c r="R55" s="253"/>
      <c r="S55" s="253"/>
      <c r="T55" s="253"/>
      <c r="U55" s="253"/>
      <c r="V55" s="253"/>
      <c r="W55" s="253"/>
      <c r="X55" s="253"/>
      <c r="Y55" s="253"/>
      <c r="Z55" s="253"/>
      <c r="AA55" s="253"/>
      <c r="AB55" s="253"/>
      <c r="AC55" s="253"/>
      <c r="AD55" s="253"/>
      <c r="AE55" s="253"/>
      <c r="AF55" s="253"/>
      <c r="AG55" s="253"/>
      <c r="AH55" s="42"/>
      <c r="BH55" s="75"/>
      <c r="BP55" s="75"/>
      <c r="BQ55" s="75"/>
      <c r="BR55" s="75"/>
      <c r="BS55" s="75"/>
    </row>
    <row r="56" spans="1:75" ht="17.25" customHeight="1">
      <c r="A56" s="326"/>
      <c r="B56" s="326"/>
      <c r="C56" s="326"/>
      <c r="D56" s="326"/>
      <c r="E56" s="326"/>
      <c r="F56" s="326"/>
      <c r="G56" s="253"/>
      <c r="H56" s="253"/>
      <c r="I56" s="253"/>
      <c r="J56" s="253"/>
      <c r="K56" s="253"/>
      <c r="L56" s="253"/>
      <c r="M56" s="253"/>
      <c r="N56" s="253"/>
      <c r="O56" s="253"/>
      <c r="P56" s="253"/>
      <c r="Q56" s="253"/>
      <c r="R56" s="253"/>
      <c r="S56" s="253"/>
      <c r="T56" s="253"/>
      <c r="U56" s="253"/>
      <c r="V56" s="253"/>
      <c r="W56" s="253"/>
      <c r="X56" s="253"/>
      <c r="Y56" s="253"/>
      <c r="Z56" s="253"/>
      <c r="AA56" s="253"/>
      <c r="AB56" s="253"/>
      <c r="AC56" s="253"/>
      <c r="AD56" s="253"/>
      <c r="AE56" s="253"/>
      <c r="AF56" s="253"/>
      <c r="AG56" s="253"/>
      <c r="AH56" s="42"/>
      <c r="BH56" s="75"/>
      <c r="BP56" s="75"/>
      <c r="BQ56" s="75"/>
      <c r="BR56" s="75"/>
      <c r="BS56" s="75"/>
    </row>
    <row r="57" spans="1:75" ht="18" customHeight="1">
      <c r="AH57" s="25"/>
      <c r="BH57" s="75"/>
      <c r="BP57" s="75"/>
      <c r="BR57" s="75"/>
      <c r="BT57" s="75"/>
      <c r="BU57" s="75"/>
      <c r="BV57" s="75"/>
      <c r="BW57" s="75"/>
    </row>
    <row r="58" spans="1:75" ht="17.25" customHeight="1">
      <c r="A58" s="24" t="s">
        <v>59</v>
      </c>
      <c r="AT58" s="25"/>
      <c r="BA58" s="25"/>
      <c r="BJ58" s="25"/>
    </row>
    <row r="59" spans="1:75" ht="4.95" customHeight="1">
      <c r="AT59" s="25"/>
      <c r="BA59" s="25"/>
      <c r="BJ59" s="25"/>
    </row>
    <row r="60" spans="1:75" ht="17.25" customHeight="1">
      <c r="A60" s="41" t="s">
        <v>43</v>
      </c>
      <c r="AT60" s="25"/>
      <c r="BA60" s="25"/>
      <c r="BJ60" s="25"/>
    </row>
    <row r="61" spans="1:75" ht="17.25" customHeight="1">
      <c r="A61" s="24" t="s">
        <v>98</v>
      </c>
      <c r="BH61" s="75"/>
      <c r="BP61" s="75"/>
      <c r="BQ61" s="75"/>
      <c r="BR61" s="75"/>
      <c r="BS61" s="75"/>
    </row>
    <row r="62" spans="1:75" ht="17.25" customHeight="1">
      <c r="A62" s="41" t="s">
        <v>76</v>
      </c>
      <c r="BH62" s="75"/>
      <c r="BP62" s="75"/>
      <c r="BQ62" s="75"/>
      <c r="BR62" s="75"/>
      <c r="BS62" s="75"/>
    </row>
    <row r="63" spans="1:75" ht="17.25" customHeight="1">
      <c r="A63" s="41" t="s">
        <v>42</v>
      </c>
      <c r="BH63" s="75"/>
      <c r="BP63" s="75"/>
      <c r="BQ63" s="75"/>
      <c r="BR63" s="75"/>
      <c r="BS63" s="75"/>
    </row>
    <row r="64" spans="1:75" ht="17.25" customHeight="1">
      <c r="A64" s="24" t="s">
        <v>75</v>
      </c>
      <c r="I64" s="25"/>
      <c r="J64" s="25"/>
      <c r="K64" s="25"/>
      <c r="L64" s="25"/>
      <c r="M64" s="25"/>
      <c r="N64" s="25"/>
      <c r="O64" s="25"/>
      <c r="P64" s="25"/>
      <c r="Q64" s="25"/>
      <c r="R64" s="25"/>
      <c r="AJ64" s="25"/>
      <c r="AK64" s="25"/>
      <c r="AL64" s="25"/>
      <c r="AM64" s="25"/>
      <c r="AN64" s="25"/>
    </row>
    <row r="65" spans="1:71" ht="18.75" customHeight="1">
      <c r="A65" s="24" t="s">
        <v>74</v>
      </c>
      <c r="L65" s="25"/>
      <c r="M65" s="25"/>
      <c r="N65" s="25"/>
      <c r="O65" s="25"/>
      <c r="P65" s="25"/>
      <c r="Q65" s="25"/>
      <c r="AL65" s="25"/>
      <c r="AM65" s="25"/>
    </row>
    <row r="66" spans="1:71" ht="17.25" customHeight="1">
      <c r="A66" s="41" t="s">
        <v>73</v>
      </c>
      <c r="BP66" s="75"/>
      <c r="BQ66" s="75"/>
      <c r="BR66" s="75"/>
      <c r="BS66" s="75"/>
    </row>
    <row r="67" spans="1:71" ht="17.25" customHeight="1">
      <c r="A67" s="24" t="s">
        <v>72</v>
      </c>
    </row>
    <row r="68" spans="1:71" ht="12.75" customHeight="1"/>
    <row r="69" spans="1:71" ht="12.75" customHeight="1">
      <c r="BG69" s="99" t="s">
        <v>62</v>
      </c>
      <c r="BH69" s="99"/>
      <c r="BI69" s="99"/>
      <c r="BJ69" s="99"/>
      <c r="BK69" s="99"/>
      <c r="BL69" s="99"/>
      <c r="BM69" s="99"/>
      <c r="BN69" s="99"/>
    </row>
    <row r="70" spans="1:71" ht="12.75" customHeight="1"/>
  </sheetData>
  <mergeCells count="171">
    <mergeCell ref="BG69:BN69"/>
    <mergeCell ref="A49:F50"/>
    <mergeCell ref="G49:AG50"/>
    <mergeCell ref="A51:F52"/>
    <mergeCell ref="I51:AG51"/>
    <mergeCell ref="I52:AG52"/>
    <mergeCell ref="A53:F56"/>
    <mergeCell ref="G53:AG56"/>
    <mergeCell ref="W47:X47"/>
    <mergeCell ref="G48:H48"/>
    <mergeCell ref="I48:N48"/>
    <mergeCell ref="O48:P48"/>
    <mergeCell ref="Q48:V48"/>
    <mergeCell ref="W48:X48"/>
    <mergeCell ref="A46:F48"/>
    <mergeCell ref="I46:N46"/>
    <mergeCell ref="Q46:V46"/>
    <mergeCell ref="G47:H47"/>
    <mergeCell ref="I47:N47"/>
    <mergeCell ref="O47:P47"/>
    <mergeCell ref="Q47:V47"/>
    <mergeCell ref="G43:N43"/>
    <mergeCell ref="O43:AG43"/>
    <mergeCell ref="G44:N44"/>
    <mergeCell ref="O44:AG44"/>
    <mergeCell ref="G45:N45"/>
    <mergeCell ref="O45:AG45"/>
    <mergeCell ref="BC35:BN35"/>
    <mergeCell ref="A37:E38"/>
    <mergeCell ref="F37:K38"/>
    <mergeCell ref="A40:F45"/>
    <mergeCell ref="G40:N40"/>
    <mergeCell ref="O40:AG40"/>
    <mergeCell ref="G41:N41"/>
    <mergeCell ref="O41:AG41"/>
    <mergeCell ref="G42:N42"/>
    <mergeCell ref="O42:AG42"/>
    <mergeCell ref="AV33:BA33"/>
    <mergeCell ref="BE33:BI33"/>
    <mergeCell ref="H34:N34"/>
    <mergeCell ref="P34:V34"/>
    <mergeCell ref="X34:AC34"/>
    <mergeCell ref="AF34:AL34"/>
    <mergeCell ref="AN34:AT34"/>
    <mergeCell ref="AV34:BA34"/>
    <mergeCell ref="A33:F34"/>
    <mergeCell ref="H33:N33"/>
    <mergeCell ref="P33:V33"/>
    <mergeCell ref="X33:AC33"/>
    <mergeCell ref="AF33:AL33"/>
    <mergeCell ref="AN33:AT33"/>
    <mergeCell ref="AX30:BN31"/>
    <mergeCell ref="G31:J31"/>
    <mergeCell ref="L31:R31"/>
    <mergeCell ref="AE31:AJ31"/>
    <mergeCell ref="AL31:AP31"/>
    <mergeCell ref="AQ31:AS31"/>
    <mergeCell ref="AU31:AW31"/>
    <mergeCell ref="A30:A31"/>
    <mergeCell ref="B30:F31"/>
    <mergeCell ref="G30:S30"/>
    <mergeCell ref="T30:AD31"/>
    <mergeCell ref="AE30:AJ30"/>
    <mergeCell ref="AL30:AW30"/>
    <mergeCell ref="AX28:BN29"/>
    <mergeCell ref="G29:J29"/>
    <mergeCell ref="L29:R29"/>
    <mergeCell ref="AE29:AJ29"/>
    <mergeCell ref="AL29:AP29"/>
    <mergeCell ref="AQ29:AS29"/>
    <mergeCell ref="AU29:AW29"/>
    <mergeCell ref="A28:A29"/>
    <mergeCell ref="B28:F29"/>
    <mergeCell ref="G28:S28"/>
    <mergeCell ref="T28:AD29"/>
    <mergeCell ref="AE28:AJ28"/>
    <mergeCell ref="AL28:AW28"/>
    <mergeCell ref="AX26:BN27"/>
    <mergeCell ref="G27:J27"/>
    <mergeCell ref="L27:R27"/>
    <mergeCell ref="AE27:AJ27"/>
    <mergeCell ref="AL27:AP27"/>
    <mergeCell ref="AQ27:AS27"/>
    <mergeCell ref="AU27:AW27"/>
    <mergeCell ref="A26:A27"/>
    <mergeCell ref="B26:F27"/>
    <mergeCell ref="G26:S26"/>
    <mergeCell ref="T26:AD27"/>
    <mergeCell ref="AE26:AJ26"/>
    <mergeCell ref="AL26:AW26"/>
    <mergeCell ref="AX24:BN25"/>
    <mergeCell ref="G25:J25"/>
    <mergeCell ref="L25:R25"/>
    <mergeCell ref="AE25:AJ25"/>
    <mergeCell ref="AL25:AP25"/>
    <mergeCell ref="AQ25:AS25"/>
    <mergeCell ref="AU25:AW25"/>
    <mergeCell ref="AE23:AJ23"/>
    <mergeCell ref="AL23:AP23"/>
    <mergeCell ref="AQ23:AS23"/>
    <mergeCell ref="AU23:AW23"/>
    <mergeCell ref="AX20:BN21"/>
    <mergeCell ref="A22:A23"/>
    <mergeCell ref="B22:F23"/>
    <mergeCell ref="G22:S22"/>
    <mergeCell ref="T22:AD23"/>
    <mergeCell ref="AE22:AJ22"/>
    <mergeCell ref="AL22:AW22"/>
    <mergeCell ref="AX22:BN23"/>
    <mergeCell ref="G23:J23"/>
    <mergeCell ref="L23:R23"/>
    <mergeCell ref="A20:A21"/>
    <mergeCell ref="B20:F21"/>
    <mergeCell ref="G20:S21"/>
    <mergeCell ref="T20:AD21"/>
    <mergeCell ref="AE20:AK21"/>
    <mergeCell ref="AL20:AW21"/>
    <mergeCell ref="AF15:AG15"/>
    <mergeCell ref="V16:AE16"/>
    <mergeCell ref="AF16:AG16"/>
    <mergeCell ref="A24:A25"/>
    <mergeCell ref="B24:F25"/>
    <mergeCell ref="G24:S24"/>
    <mergeCell ref="T24:AD25"/>
    <mergeCell ref="AE24:AJ24"/>
    <mergeCell ref="AL24:AW24"/>
    <mergeCell ref="AF13:AG14"/>
    <mergeCell ref="AH13:AM18"/>
    <mergeCell ref="AN13:AO13"/>
    <mergeCell ref="AP13:AU13"/>
    <mergeCell ref="AV13:AW13"/>
    <mergeCell ref="AX13:BC13"/>
    <mergeCell ref="AN14:BN18"/>
    <mergeCell ref="A13:F14"/>
    <mergeCell ref="G13:O14"/>
    <mergeCell ref="P13:Q14"/>
    <mergeCell ref="R13:Z14"/>
    <mergeCell ref="AA13:AB14"/>
    <mergeCell ref="AC13:AE14"/>
    <mergeCell ref="A17:F18"/>
    <mergeCell ref="G17:O18"/>
    <mergeCell ref="P17:U18"/>
    <mergeCell ref="V17:AE17"/>
    <mergeCell ref="AF17:AG17"/>
    <mergeCell ref="V18:AE18"/>
    <mergeCell ref="AF18:AG18"/>
    <mergeCell ref="A15:F16"/>
    <mergeCell ref="G15:O16"/>
    <mergeCell ref="P15:U16"/>
    <mergeCell ref="V15:AE15"/>
    <mergeCell ref="BE6:BN7"/>
    <mergeCell ref="A8:F9"/>
    <mergeCell ref="G8:AG8"/>
    <mergeCell ref="AH8:AM9"/>
    <mergeCell ref="AN8:BN9"/>
    <mergeCell ref="G9:M9"/>
    <mergeCell ref="N9:AG9"/>
    <mergeCell ref="BC1:BF1"/>
    <mergeCell ref="BG1:BJ1"/>
    <mergeCell ref="BK1:BN1"/>
    <mergeCell ref="AR2:AV4"/>
    <mergeCell ref="AY2:BB4"/>
    <mergeCell ref="BC2:BF4"/>
    <mergeCell ref="BG2:BJ4"/>
    <mergeCell ref="BK2:BN4"/>
    <mergeCell ref="A1:E2"/>
    <mergeCell ref="F1:K2"/>
    <mergeCell ref="R1:AQ3"/>
    <mergeCell ref="AR1:AV1"/>
    <mergeCell ref="AX1:AX4"/>
    <mergeCell ref="AY1:BB1"/>
  </mergeCells>
  <phoneticPr fontId="3"/>
  <dataValidations count="3">
    <dataValidation type="list" allowBlank="1" showInputMessage="1" showErrorMessage="1" sqref="G15:O18">
      <formula1>"自宅,杉本キャンパス,阿倍野キャンパス,中百舌鳥キャンパス,羽曳野キャンパス,りんくうキャンパス,工業高等専門学校,職務外用務地（兼業）,職務外用務地（私用）"</formula1>
    </dataValidation>
    <dataValidation allowBlank="1" showInputMessage="1" showErrorMessage="1" prompt="日付は「旅行期間終了日」以降の日付を入力してください。" sqref="BE6:BN7"/>
    <dataValidation type="list" allowBlank="1" showInputMessage="1" showErrorMessage="1" sqref="O40:AG40">
      <formula1>"(選択してください),基盤研究費,大学運営経費,科研費（代表者）,科研費（学内分担）,科研費（学外分担）,寄附金,補助金,受託事業,共同研究,受託研究,助成金,科研間接経費,自己負担（精算なし）,先方負担,その他"</formula1>
    </dataValidation>
  </dataValidations>
  <printOptions horizontalCentered="1"/>
  <pageMargins left="0.19685039370078741" right="0.19685039370078741" top="0.39370078740157483" bottom="0.39370078740157483" header="0.11811023622047245" footer="0.11811023622047245"/>
  <pageSetup paperSize="9" orientation="landscape" r:id="rId1"/>
  <headerFooter>
    <oddFooter>&amp;L&amp;P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38913" r:id="rId4" name="Check Box 1">
              <controlPr defaultSize="0" autoFill="0" autoLine="0" autoPict="0">
                <anchor moveWithCells="1">
                  <from>
                    <xdr:col>6</xdr:col>
                    <xdr:colOff>45720</xdr:colOff>
                    <xdr:row>44</xdr:row>
                    <xdr:rowOff>228600</xdr:rowOff>
                  </from>
                  <to>
                    <xdr:col>7</xdr:col>
                    <xdr:colOff>121920</xdr:colOff>
                    <xdr:row>46</xdr:row>
                    <xdr:rowOff>22860</xdr:rowOff>
                  </to>
                </anchor>
              </controlPr>
            </control>
          </mc:Choice>
        </mc:AlternateContent>
        <mc:AlternateContent xmlns:mc="http://schemas.openxmlformats.org/markup-compatibility/2006">
          <mc:Choice Requires="x14">
            <control shapeId="38914" r:id="rId5" name="Check Box 2">
              <controlPr defaultSize="0" autoFill="0" autoLine="0" autoPict="0">
                <anchor moveWithCells="1">
                  <from>
                    <xdr:col>14</xdr:col>
                    <xdr:colOff>45720</xdr:colOff>
                    <xdr:row>44</xdr:row>
                    <xdr:rowOff>228600</xdr:rowOff>
                  </from>
                  <to>
                    <xdr:col>15</xdr:col>
                    <xdr:colOff>121920</xdr:colOff>
                    <xdr:row>46</xdr:row>
                    <xdr:rowOff>22860</xdr:rowOff>
                  </to>
                </anchor>
              </controlPr>
            </control>
          </mc:Choice>
        </mc:AlternateContent>
        <mc:AlternateContent xmlns:mc="http://schemas.openxmlformats.org/markup-compatibility/2006">
          <mc:Choice Requires="x14">
            <control shapeId="38915" r:id="rId6" name="Check Box 3">
              <controlPr defaultSize="0" autoFill="0" autoLine="0" autoPict="0">
                <anchor moveWithCells="1">
                  <from>
                    <xdr:col>6</xdr:col>
                    <xdr:colOff>45720</xdr:colOff>
                    <xdr:row>45</xdr:row>
                    <xdr:rowOff>228600</xdr:rowOff>
                  </from>
                  <to>
                    <xdr:col>7</xdr:col>
                    <xdr:colOff>121920</xdr:colOff>
                    <xdr:row>47</xdr:row>
                    <xdr:rowOff>22860</xdr:rowOff>
                  </to>
                </anchor>
              </controlPr>
            </control>
          </mc:Choice>
        </mc:AlternateContent>
        <mc:AlternateContent xmlns:mc="http://schemas.openxmlformats.org/markup-compatibility/2006">
          <mc:Choice Requires="x14">
            <control shapeId="38916" r:id="rId7" name="Check Box 4">
              <controlPr defaultSize="0" autoFill="0" autoLine="0" autoPict="0">
                <anchor moveWithCells="1">
                  <from>
                    <xdr:col>14</xdr:col>
                    <xdr:colOff>45720</xdr:colOff>
                    <xdr:row>45</xdr:row>
                    <xdr:rowOff>228600</xdr:rowOff>
                  </from>
                  <to>
                    <xdr:col>15</xdr:col>
                    <xdr:colOff>121920</xdr:colOff>
                    <xdr:row>47</xdr:row>
                    <xdr:rowOff>22860</xdr:rowOff>
                  </to>
                </anchor>
              </controlPr>
            </control>
          </mc:Choice>
        </mc:AlternateContent>
        <mc:AlternateContent xmlns:mc="http://schemas.openxmlformats.org/markup-compatibility/2006">
          <mc:Choice Requires="x14">
            <control shapeId="38917" r:id="rId8" name="Check Box 5">
              <controlPr defaultSize="0" autoFill="0" autoLine="0" autoPict="0">
                <anchor moveWithCells="1">
                  <from>
                    <xdr:col>22</xdr:col>
                    <xdr:colOff>45720</xdr:colOff>
                    <xdr:row>45</xdr:row>
                    <xdr:rowOff>228600</xdr:rowOff>
                  </from>
                  <to>
                    <xdr:col>23</xdr:col>
                    <xdr:colOff>121920</xdr:colOff>
                    <xdr:row>47</xdr:row>
                    <xdr:rowOff>22860</xdr:rowOff>
                  </to>
                </anchor>
              </controlPr>
            </control>
          </mc:Choice>
        </mc:AlternateContent>
        <mc:AlternateContent xmlns:mc="http://schemas.openxmlformats.org/markup-compatibility/2006">
          <mc:Choice Requires="x14">
            <control shapeId="38918" r:id="rId9" name="Check Box 6">
              <controlPr defaultSize="0" autoFill="0" autoLine="0" autoPict="0">
                <anchor moveWithCells="1">
                  <from>
                    <xdr:col>6</xdr:col>
                    <xdr:colOff>45720</xdr:colOff>
                    <xdr:row>46</xdr:row>
                    <xdr:rowOff>228600</xdr:rowOff>
                  </from>
                  <to>
                    <xdr:col>7</xdr:col>
                    <xdr:colOff>121920</xdr:colOff>
                    <xdr:row>48</xdr:row>
                    <xdr:rowOff>22860</xdr:rowOff>
                  </to>
                </anchor>
              </controlPr>
            </control>
          </mc:Choice>
        </mc:AlternateContent>
        <mc:AlternateContent xmlns:mc="http://schemas.openxmlformats.org/markup-compatibility/2006">
          <mc:Choice Requires="x14">
            <control shapeId="38919" r:id="rId10" name="Check Box 7">
              <controlPr defaultSize="0" autoFill="0" autoLine="0" autoPict="0">
                <anchor moveWithCells="1">
                  <from>
                    <xdr:col>14</xdr:col>
                    <xdr:colOff>45720</xdr:colOff>
                    <xdr:row>46</xdr:row>
                    <xdr:rowOff>228600</xdr:rowOff>
                  </from>
                  <to>
                    <xdr:col>15</xdr:col>
                    <xdr:colOff>121920</xdr:colOff>
                    <xdr:row>48</xdr:row>
                    <xdr:rowOff>22860</xdr:rowOff>
                  </to>
                </anchor>
              </controlPr>
            </control>
          </mc:Choice>
        </mc:AlternateContent>
        <mc:AlternateContent xmlns:mc="http://schemas.openxmlformats.org/markup-compatibility/2006">
          <mc:Choice Requires="x14">
            <control shapeId="38920" r:id="rId11" name="Check Box 8">
              <controlPr defaultSize="0" autoFill="0" autoLine="0" autoPict="0">
                <anchor moveWithCells="1">
                  <from>
                    <xdr:col>22</xdr:col>
                    <xdr:colOff>45720</xdr:colOff>
                    <xdr:row>46</xdr:row>
                    <xdr:rowOff>228600</xdr:rowOff>
                  </from>
                  <to>
                    <xdr:col>23</xdr:col>
                    <xdr:colOff>121920</xdr:colOff>
                    <xdr:row>48</xdr:row>
                    <xdr:rowOff>22860</xdr:rowOff>
                  </to>
                </anchor>
              </controlPr>
            </control>
          </mc:Choice>
        </mc:AlternateContent>
        <mc:AlternateContent xmlns:mc="http://schemas.openxmlformats.org/markup-compatibility/2006">
          <mc:Choice Requires="x14">
            <control shapeId="38921" r:id="rId12" name="Check Box 9">
              <controlPr defaultSize="0" autoFill="0" autoLine="0" autoPict="0">
                <anchor moveWithCells="1">
                  <from>
                    <xdr:col>54</xdr:col>
                    <xdr:colOff>45720</xdr:colOff>
                    <xdr:row>32</xdr:row>
                    <xdr:rowOff>0</xdr:rowOff>
                  </from>
                  <to>
                    <xdr:col>56</xdr:col>
                    <xdr:colOff>30480</xdr:colOff>
                    <xdr:row>33</xdr:row>
                    <xdr:rowOff>22860</xdr:rowOff>
                  </to>
                </anchor>
              </controlPr>
            </control>
          </mc:Choice>
        </mc:AlternateContent>
        <mc:AlternateContent xmlns:mc="http://schemas.openxmlformats.org/markup-compatibility/2006">
          <mc:Choice Requires="x14">
            <control shapeId="38922" r:id="rId13" name="Check Box 10">
              <controlPr defaultSize="0" autoFill="0" autoLine="0" autoPict="0">
                <anchor moveWithCells="1">
                  <from>
                    <xdr:col>6</xdr:col>
                    <xdr:colOff>45720</xdr:colOff>
                    <xdr:row>49</xdr:row>
                    <xdr:rowOff>228600</xdr:rowOff>
                  </from>
                  <to>
                    <xdr:col>7</xdr:col>
                    <xdr:colOff>121920</xdr:colOff>
                    <xdr:row>51</xdr:row>
                    <xdr:rowOff>22860</xdr:rowOff>
                  </to>
                </anchor>
              </controlPr>
            </control>
          </mc:Choice>
        </mc:AlternateContent>
        <mc:AlternateContent xmlns:mc="http://schemas.openxmlformats.org/markup-compatibility/2006">
          <mc:Choice Requires="x14">
            <control shapeId="38923" r:id="rId14" name="Check Box 11">
              <controlPr defaultSize="0" autoFill="0" autoLine="0" autoPict="0">
                <anchor moveWithCells="1">
                  <from>
                    <xdr:col>39</xdr:col>
                    <xdr:colOff>45720</xdr:colOff>
                    <xdr:row>11</xdr:row>
                    <xdr:rowOff>228600</xdr:rowOff>
                  </from>
                  <to>
                    <xdr:col>40</xdr:col>
                    <xdr:colOff>121920</xdr:colOff>
                    <xdr:row>13</xdr:row>
                    <xdr:rowOff>22860</xdr:rowOff>
                  </to>
                </anchor>
              </controlPr>
            </control>
          </mc:Choice>
        </mc:AlternateContent>
        <mc:AlternateContent xmlns:mc="http://schemas.openxmlformats.org/markup-compatibility/2006">
          <mc:Choice Requires="x14">
            <control shapeId="38924" r:id="rId15" name="Check Box 12">
              <controlPr defaultSize="0" autoFill="0" autoLine="0" autoPict="0">
                <anchor moveWithCells="1">
                  <from>
                    <xdr:col>47</xdr:col>
                    <xdr:colOff>45720</xdr:colOff>
                    <xdr:row>11</xdr:row>
                    <xdr:rowOff>228600</xdr:rowOff>
                  </from>
                  <to>
                    <xdr:col>48</xdr:col>
                    <xdr:colOff>121920</xdr:colOff>
                    <xdr:row>13</xdr:row>
                    <xdr:rowOff>22860</xdr:rowOff>
                  </to>
                </anchor>
              </controlPr>
            </control>
          </mc:Choice>
        </mc:AlternateContent>
        <mc:AlternateContent xmlns:mc="http://schemas.openxmlformats.org/markup-compatibility/2006">
          <mc:Choice Requires="x14">
            <control shapeId="38925" r:id="rId16" name="Check Box 13">
              <controlPr defaultSize="0" autoFill="0" autoLine="0" autoPict="0">
                <anchor moveWithCells="1">
                  <from>
                    <xdr:col>6</xdr:col>
                    <xdr:colOff>45720</xdr:colOff>
                    <xdr:row>50</xdr:row>
                    <xdr:rowOff>228600</xdr:rowOff>
                  </from>
                  <to>
                    <xdr:col>7</xdr:col>
                    <xdr:colOff>121920</xdr:colOff>
                    <xdr:row>52</xdr:row>
                    <xdr:rowOff>22860</xdr:rowOff>
                  </to>
                </anchor>
              </controlPr>
            </control>
          </mc:Choice>
        </mc:AlternateContent>
        <mc:AlternateContent xmlns:mc="http://schemas.openxmlformats.org/markup-compatibility/2006">
          <mc:Choice Requires="x14">
            <control shapeId="38926" r:id="rId17" name="Check Box 14">
              <controlPr defaultSize="0" autoFill="0" autoLine="0" autoPict="0">
                <anchor moveWithCells="1">
                  <from>
                    <xdr:col>6</xdr:col>
                    <xdr:colOff>45720</xdr:colOff>
                    <xdr:row>48</xdr:row>
                    <xdr:rowOff>106680</xdr:rowOff>
                  </from>
                  <to>
                    <xdr:col>7</xdr:col>
                    <xdr:colOff>121920</xdr:colOff>
                    <xdr:row>49</xdr:row>
                    <xdr:rowOff>121920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W70"/>
  <sheetViews>
    <sheetView view="pageBreakPreview" zoomScaleNormal="100" zoomScaleSheetLayoutView="100" workbookViewId="0">
      <selection activeCell="AJ10" sqref="AJ10"/>
    </sheetView>
  </sheetViews>
  <sheetFormatPr defaultColWidth="1.8984375" defaultRowHeight="13.2"/>
  <cols>
    <col min="1" max="1" width="2" style="24" customWidth="1"/>
    <col min="2" max="2" width="2.3984375" style="24" customWidth="1"/>
    <col min="3" max="66" width="2" style="24" customWidth="1"/>
    <col min="67" max="16384" width="1.8984375" style="24"/>
  </cols>
  <sheetData>
    <row r="1" spans="1:66" ht="12.75" customHeight="1">
      <c r="A1" s="475" t="s">
        <v>68</v>
      </c>
      <c r="B1" s="475"/>
      <c r="C1" s="475"/>
      <c r="D1" s="475"/>
      <c r="E1" s="475"/>
      <c r="F1" s="475" t="s">
        <v>122</v>
      </c>
      <c r="G1" s="475"/>
      <c r="H1" s="475"/>
      <c r="I1" s="475"/>
      <c r="J1" s="475"/>
      <c r="K1" s="475"/>
      <c r="M1" s="85"/>
      <c r="N1" s="85"/>
      <c r="O1" s="85"/>
      <c r="R1" s="85"/>
      <c r="S1" s="85"/>
      <c r="T1" s="85"/>
      <c r="U1" s="259" t="s">
        <v>69</v>
      </c>
      <c r="V1" s="259"/>
      <c r="W1" s="259"/>
      <c r="X1" s="259"/>
      <c r="Y1" s="259"/>
      <c r="Z1" s="259"/>
      <c r="AA1" s="259"/>
      <c r="AB1" s="259"/>
      <c r="AC1" s="259"/>
      <c r="AD1" s="259"/>
      <c r="AE1" s="259"/>
      <c r="AF1" s="259"/>
      <c r="AG1" s="259"/>
      <c r="AH1" s="259"/>
      <c r="AI1" s="259"/>
      <c r="AJ1" s="259"/>
      <c r="AK1" s="259"/>
      <c r="AL1" s="259"/>
      <c r="AM1" s="259"/>
      <c r="AN1" s="259"/>
      <c r="AO1" s="259"/>
      <c r="AP1" s="85"/>
      <c r="AQ1" s="86"/>
      <c r="AR1" s="261" t="s">
        <v>9</v>
      </c>
      <c r="AS1" s="262"/>
      <c r="AT1" s="262"/>
      <c r="AU1" s="262"/>
      <c r="AV1" s="263"/>
      <c r="AX1" s="264" t="s">
        <v>38</v>
      </c>
      <c r="AY1" s="138" t="s">
        <v>6</v>
      </c>
      <c r="AZ1" s="139"/>
      <c r="BA1" s="139"/>
      <c r="BB1" s="140"/>
      <c r="BC1" s="267" t="s">
        <v>10</v>
      </c>
      <c r="BD1" s="267"/>
      <c r="BE1" s="267"/>
      <c r="BF1" s="267"/>
      <c r="BG1" s="267" t="s">
        <v>5</v>
      </c>
      <c r="BH1" s="267"/>
      <c r="BI1" s="267"/>
      <c r="BJ1" s="267"/>
      <c r="BK1" s="267" t="s">
        <v>4</v>
      </c>
      <c r="BL1" s="267"/>
      <c r="BM1" s="267"/>
      <c r="BN1" s="267"/>
    </row>
    <row r="2" spans="1:66" ht="12.75" customHeight="1">
      <c r="A2" s="475"/>
      <c r="B2" s="475"/>
      <c r="C2" s="475"/>
      <c r="D2" s="475"/>
      <c r="E2" s="475"/>
      <c r="F2" s="475"/>
      <c r="G2" s="475"/>
      <c r="H2" s="475"/>
      <c r="I2" s="475"/>
      <c r="J2" s="475"/>
      <c r="K2" s="475"/>
      <c r="M2" s="85"/>
      <c r="N2" s="85"/>
      <c r="O2" s="85"/>
      <c r="P2" s="85"/>
      <c r="Q2" s="85"/>
      <c r="R2" s="85"/>
      <c r="S2" s="85"/>
      <c r="T2" s="85"/>
      <c r="U2" s="259"/>
      <c r="V2" s="259"/>
      <c r="W2" s="259"/>
      <c r="X2" s="259"/>
      <c r="Y2" s="259"/>
      <c r="Z2" s="259"/>
      <c r="AA2" s="259"/>
      <c r="AB2" s="259"/>
      <c r="AC2" s="259"/>
      <c r="AD2" s="259"/>
      <c r="AE2" s="259"/>
      <c r="AF2" s="259"/>
      <c r="AG2" s="259"/>
      <c r="AH2" s="259"/>
      <c r="AI2" s="259"/>
      <c r="AJ2" s="259"/>
      <c r="AK2" s="259"/>
      <c r="AL2" s="259"/>
      <c r="AM2" s="259"/>
      <c r="AN2" s="259"/>
      <c r="AO2" s="259"/>
      <c r="AP2" s="85"/>
      <c r="AQ2" s="86"/>
      <c r="AR2" s="138"/>
      <c r="AS2" s="139"/>
      <c r="AT2" s="139"/>
      <c r="AU2" s="139"/>
      <c r="AV2" s="140"/>
      <c r="AX2" s="265"/>
      <c r="AY2" s="274"/>
      <c r="AZ2" s="274"/>
      <c r="BA2" s="274"/>
      <c r="BB2" s="274"/>
      <c r="BC2" s="274"/>
      <c r="BD2" s="274"/>
      <c r="BE2" s="274"/>
      <c r="BF2" s="274"/>
      <c r="BG2" s="274"/>
      <c r="BH2" s="274"/>
      <c r="BI2" s="274"/>
      <c r="BJ2" s="274"/>
      <c r="BK2" s="274"/>
      <c r="BL2" s="274"/>
      <c r="BM2" s="274"/>
      <c r="BN2" s="274"/>
    </row>
    <row r="3" spans="1:66" ht="13.2" customHeight="1">
      <c r="L3" s="85"/>
      <c r="M3" s="85"/>
      <c r="N3" s="85"/>
      <c r="O3" s="85"/>
      <c r="P3" s="85"/>
      <c r="Q3" s="85"/>
      <c r="R3" s="85"/>
      <c r="S3" s="85"/>
      <c r="T3" s="85"/>
      <c r="U3" s="259"/>
      <c r="V3" s="259"/>
      <c r="W3" s="259"/>
      <c r="X3" s="259"/>
      <c r="Y3" s="259"/>
      <c r="Z3" s="259"/>
      <c r="AA3" s="259"/>
      <c r="AB3" s="259"/>
      <c r="AC3" s="259"/>
      <c r="AD3" s="259"/>
      <c r="AE3" s="259"/>
      <c r="AF3" s="259"/>
      <c r="AG3" s="259"/>
      <c r="AH3" s="259"/>
      <c r="AI3" s="259"/>
      <c r="AJ3" s="259"/>
      <c r="AK3" s="259"/>
      <c r="AL3" s="259"/>
      <c r="AM3" s="259"/>
      <c r="AN3" s="259"/>
      <c r="AO3" s="259"/>
      <c r="AP3" s="85"/>
      <c r="AQ3" s="86"/>
      <c r="AR3" s="268"/>
      <c r="AS3" s="269"/>
      <c r="AT3" s="269"/>
      <c r="AU3" s="269"/>
      <c r="AV3" s="270"/>
      <c r="AX3" s="265"/>
      <c r="AY3" s="274"/>
      <c r="AZ3" s="274"/>
      <c r="BA3" s="274"/>
      <c r="BB3" s="274"/>
      <c r="BC3" s="274"/>
      <c r="BD3" s="274"/>
      <c r="BE3" s="274"/>
      <c r="BF3" s="274"/>
      <c r="BG3" s="274"/>
      <c r="BH3" s="274"/>
      <c r="BI3" s="274"/>
      <c r="BJ3" s="274"/>
      <c r="BK3" s="274"/>
      <c r="BL3" s="274"/>
      <c r="BM3" s="274"/>
      <c r="BN3" s="274"/>
    </row>
    <row r="4" spans="1:66" ht="13.2" customHeight="1">
      <c r="L4" s="61"/>
      <c r="M4" s="61"/>
      <c r="N4" s="61"/>
      <c r="O4" s="61"/>
      <c r="U4" s="85"/>
      <c r="V4" s="85"/>
      <c r="W4" s="85"/>
      <c r="X4" s="85"/>
      <c r="Y4" s="85"/>
      <c r="Z4" s="85"/>
      <c r="AA4" s="85"/>
      <c r="AB4" s="85"/>
      <c r="AC4" s="85"/>
      <c r="AD4" s="85"/>
      <c r="AE4" s="85"/>
      <c r="AF4" s="85"/>
      <c r="AG4" s="85"/>
      <c r="AH4" s="85"/>
      <c r="AI4" s="85"/>
      <c r="AJ4" s="85"/>
      <c r="AK4" s="85"/>
      <c r="AL4" s="85"/>
      <c r="AM4" s="85"/>
      <c r="AQ4" s="41"/>
      <c r="AR4" s="271"/>
      <c r="AS4" s="272"/>
      <c r="AT4" s="272"/>
      <c r="AU4" s="272"/>
      <c r="AV4" s="273"/>
      <c r="AX4" s="266"/>
      <c r="AY4" s="274"/>
      <c r="AZ4" s="274"/>
      <c r="BA4" s="274"/>
      <c r="BB4" s="274"/>
      <c r="BC4" s="274"/>
      <c r="BD4" s="274"/>
      <c r="BE4" s="274"/>
      <c r="BF4" s="274"/>
      <c r="BG4" s="274"/>
      <c r="BH4" s="274"/>
      <c r="BI4" s="274"/>
      <c r="BJ4" s="274"/>
      <c r="BK4" s="274"/>
      <c r="BL4" s="274"/>
      <c r="BM4" s="274"/>
      <c r="BN4" s="274"/>
    </row>
    <row r="5" spans="1:66" ht="14.1" customHeight="1">
      <c r="G5" s="59"/>
      <c r="I5" s="59"/>
      <c r="J5" s="59"/>
      <c r="K5" s="59"/>
      <c r="L5" s="59"/>
      <c r="M5" s="59"/>
      <c r="N5" s="59"/>
      <c r="O5" s="59"/>
      <c r="P5" s="59"/>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41"/>
      <c r="AR5" s="60"/>
      <c r="AS5" s="60"/>
      <c r="AU5" s="59"/>
      <c r="AV5" s="59"/>
    </row>
    <row r="6" spans="1:66" ht="14.1" customHeight="1">
      <c r="A6" s="59" t="s">
        <v>37</v>
      </c>
      <c r="F6" s="59"/>
      <c r="G6" s="59"/>
      <c r="I6" s="59"/>
      <c r="J6" s="59"/>
      <c r="K6" s="59"/>
      <c r="L6" s="59"/>
      <c r="M6" s="59"/>
      <c r="N6" s="59"/>
      <c r="O6" s="59"/>
      <c r="P6" s="59"/>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U6" s="59"/>
      <c r="AV6" s="59"/>
      <c r="AY6" s="41"/>
      <c r="AZ6" s="41"/>
      <c r="BA6" s="41"/>
      <c r="BB6" s="41"/>
      <c r="BE6" s="269" t="s">
        <v>55</v>
      </c>
      <c r="BF6" s="269"/>
      <c r="BG6" s="269"/>
      <c r="BH6" s="269"/>
      <c r="BI6" s="269"/>
      <c r="BJ6" s="269"/>
      <c r="BK6" s="269"/>
      <c r="BL6" s="269"/>
      <c r="BM6" s="269"/>
      <c r="BN6" s="269"/>
    </row>
    <row r="7" spans="1:66" ht="14.1" customHeight="1">
      <c r="F7" s="59"/>
      <c r="G7" s="59"/>
      <c r="I7" s="59"/>
      <c r="J7" s="59"/>
      <c r="K7" s="59"/>
      <c r="L7" s="59"/>
      <c r="M7" s="59"/>
      <c r="N7" s="59"/>
      <c r="O7" s="59"/>
      <c r="P7" s="59"/>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U7" s="59"/>
      <c r="AV7" s="59"/>
      <c r="AY7" s="58"/>
      <c r="AZ7" s="58"/>
      <c r="BA7" s="58"/>
      <c r="BB7" s="58"/>
      <c r="BE7" s="272"/>
      <c r="BF7" s="272"/>
      <c r="BG7" s="272"/>
      <c r="BH7" s="272"/>
      <c r="BI7" s="272"/>
      <c r="BJ7" s="272"/>
      <c r="BK7" s="272"/>
      <c r="BL7" s="272"/>
      <c r="BM7" s="272"/>
      <c r="BN7" s="272"/>
    </row>
    <row r="8" spans="1:66" ht="18.75" customHeight="1">
      <c r="A8" s="172" t="s">
        <v>27</v>
      </c>
      <c r="B8" s="133"/>
      <c r="C8" s="133"/>
      <c r="D8" s="133"/>
      <c r="E8" s="133"/>
      <c r="F8" s="134"/>
      <c r="G8" s="277" t="s">
        <v>123</v>
      </c>
      <c r="H8" s="278"/>
      <c r="I8" s="278"/>
      <c r="J8" s="278"/>
      <c r="K8" s="278"/>
      <c r="L8" s="278"/>
      <c r="M8" s="278"/>
      <c r="N8" s="278"/>
      <c r="O8" s="278"/>
      <c r="P8" s="278"/>
      <c r="Q8" s="278"/>
      <c r="R8" s="278"/>
      <c r="S8" s="278"/>
      <c r="T8" s="278"/>
      <c r="U8" s="278"/>
      <c r="V8" s="278"/>
      <c r="W8" s="278"/>
      <c r="X8" s="278"/>
      <c r="Y8" s="278"/>
      <c r="Z8" s="278"/>
      <c r="AA8" s="278"/>
      <c r="AB8" s="278"/>
      <c r="AC8" s="278"/>
      <c r="AD8" s="278"/>
      <c r="AE8" s="278"/>
      <c r="AF8" s="278"/>
      <c r="AG8" s="279"/>
      <c r="AH8" s="172" t="s">
        <v>3</v>
      </c>
      <c r="AI8" s="133"/>
      <c r="AJ8" s="133"/>
      <c r="AK8" s="133"/>
      <c r="AL8" s="133"/>
      <c r="AM8" s="134"/>
      <c r="AN8" s="138"/>
      <c r="AO8" s="139"/>
      <c r="AP8" s="139"/>
      <c r="AQ8" s="139"/>
      <c r="AR8" s="139"/>
      <c r="AS8" s="139"/>
      <c r="AT8" s="139"/>
      <c r="AU8" s="139"/>
      <c r="AV8" s="139"/>
      <c r="AW8" s="139"/>
      <c r="AX8" s="139"/>
      <c r="AY8" s="139"/>
      <c r="AZ8" s="139"/>
      <c r="BA8" s="139"/>
      <c r="BB8" s="139"/>
      <c r="BC8" s="139"/>
      <c r="BD8" s="139"/>
      <c r="BE8" s="139"/>
      <c r="BF8" s="139"/>
      <c r="BG8" s="139"/>
      <c r="BH8" s="139"/>
      <c r="BI8" s="139"/>
      <c r="BJ8" s="139"/>
      <c r="BK8" s="139"/>
      <c r="BL8" s="139"/>
      <c r="BM8" s="139"/>
      <c r="BN8" s="140"/>
    </row>
    <row r="9" spans="1:66" ht="18.75" customHeight="1">
      <c r="A9" s="135"/>
      <c r="B9" s="136"/>
      <c r="C9" s="136"/>
      <c r="D9" s="136"/>
      <c r="E9" s="136"/>
      <c r="F9" s="137"/>
      <c r="G9" s="271" t="s">
        <v>26</v>
      </c>
      <c r="H9" s="272"/>
      <c r="I9" s="272"/>
      <c r="J9" s="272"/>
      <c r="K9" s="272"/>
      <c r="L9" s="272"/>
      <c r="M9" s="272"/>
      <c r="N9" s="298" t="s">
        <v>23</v>
      </c>
      <c r="O9" s="298"/>
      <c r="P9" s="298"/>
      <c r="Q9" s="298"/>
      <c r="R9" s="298"/>
      <c r="S9" s="298"/>
      <c r="T9" s="298"/>
      <c r="U9" s="298"/>
      <c r="V9" s="298"/>
      <c r="W9" s="298"/>
      <c r="X9" s="298"/>
      <c r="Y9" s="298"/>
      <c r="Z9" s="298"/>
      <c r="AA9" s="298"/>
      <c r="AB9" s="298"/>
      <c r="AC9" s="298"/>
      <c r="AD9" s="298"/>
      <c r="AE9" s="298"/>
      <c r="AF9" s="298"/>
      <c r="AG9" s="299"/>
      <c r="AH9" s="135"/>
      <c r="AI9" s="136"/>
      <c r="AJ9" s="136"/>
      <c r="AK9" s="136"/>
      <c r="AL9" s="136"/>
      <c r="AM9" s="137"/>
      <c r="AN9" s="271"/>
      <c r="AO9" s="272"/>
      <c r="AP9" s="272"/>
      <c r="AQ9" s="272"/>
      <c r="AR9" s="272"/>
      <c r="AS9" s="272"/>
      <c r="AT9" s="272"/>
      <c r="AU9" s="272"/>
      <c r="AV9" s="272"/>
      <c r="AW9" s="272"/>
      <c r="AX9" s="272"/>
      <c r="AY9" s="272"/>
      <c r="AZ9" s="272"/>
      <c r="BA9" s="272"/>
      <c r="BB9" s="272"/>
      <c r="BC9" s="272"/>
      <c r="BD9" s="272"/>
      <c r="BE9" s="272"/>
      <c r="BF9" s="272"/>
      <c r="BG9" s="272"/>
      <c r="BH9" s="272"/>
      <c r="BI9" s="272"/>
      <c r="BJ9" s="272"/>
      <c r="BK9" s="272"/>
      <c r="BL9" s="272"/>
      <c r="BM9" s="272"/>
      <c r="BN9" s="273"/>
    </row>
    <row r="10" spans="1:66" ht="17.25" customHeight="1"/>
    <row r="11" spans="1:66" ht="17.25" customHeight="1">
      <c r="B11" s="24" t="s">
        <v>41</v>
      </c>
      <c r="AP11" s="25"/>
    </row>
    <row r="12" spans="1:66" ht="6.75" customHeight="1"/>
    <row r="13" spans="1:66" ht="17.25" customHeight="1">
      <c r="A13" s="172" t="s">
        <v>0</v>
      </c>
      <c r="B13" s="133"/>
      <c r="C13" s="133"/>
      <c r="D13" s="133"/>
      <c r="E13" s="133"/>
      <c r="F13" s="134"/>
      <c r="G13" s="318"/>
      <c r="H13" s="318"/>
      <c r="I13" s="318"/>
      <c r="J13" s="318"/>
      <c r="K13" s="318"/>
      <c r="L13" s="318"/>
      <c r="M13" s="318"/>
      <c r="N13" s="318"/>
      <c r="O13" s="319"/>
      <c r="P13" s="320" t="s">
        <v>2</v>
      </c>
      <c r="Q13" s="321"/>
      <c r="R13" s="322"/>
      <c r="S13" s="318"/>
      <c r="T13" s="318"/>
      <c r="U13" s="318"/>
      <c r="V13" s="318"/>
      <c r="W13" s="318"/>
      <c r="X13" s="318"/>
      <c r="Y13" s="318"/>
      <c r="Z13" s="319"/>
      <c r="AA13" s="320" t="s">
        <v>1</v>
      </c>
      <c r="AB13" s="321"/>
      <c r="AC13" s="323"/>
      <c r="AD13" s="324"/>
      <c r="AE13" s="325"/>
      <c r="AF13" s="320" t="s">
        <v>8</v>
      </c>
      <c r="AG13" s="267"/>
      <c r="AH13" s="172" t="s">
        <v>124</v>
      </c>
      <c r="AI13" s="133"/>
      <c r="AJ13" s="133"/>
      <c r="AK13" s="133"/>
      <c r="AL13" s="133"/>
      <c r="AM13" s="134"/>
      <c r="AN13" s="476"/>
      <c r="AO13" s="476"/>
      <c r="AP13" s="476"/>
      <c r="AQ13" s="476"/>
      <c r="AR13" s="476"/>
      <c r="AS13" s="476"/>
      <c r="AT13" s="476"/>
      <c r="AU13" s="476"/>
      <c r="AV13" s="476"/>
      <c r="AW13" s="476"/>
      <c r="AX13" s="476"/>
      <c r="AY13" s="476"/>
      <c r="AZ13" s="476"/>
      <c r="BA13" s="476"/>
      <c r="BB13" s="476"/>
      <c r="BC13" s="476"/>
      <c r="BD13" s="476"/>
      <c r="BE13" s="476"/>
      <c r="BF13" s="476"/>
      <c r="BG13" s="476"/>
      <c r="BH13" s="476"/>
      <c r="BI13" s="476"/>
      <c r="BJ13" s="476"/>
      <c r="BK13" s="476"/>
      <c r="BL13" s="476"/>
      <c r="BM13" s="476"/>
      <c r="BN13" s="477"/>
    </row>
    <row r="14" spans="1:66" ht="17.25" customHeight="1">
      <c r="A14" s="135"/>
      <c r="B14" s="136"/>
      <c r="C14" s="136"/>
      <c r="D14" s="136"/>
      <c r="E14" s="136"/>
      <c r="F14" s="137"/>
      <c r="G14" s="318"/>
      <c r="H14" s="318"/>
      <c r="I14" s="318"/>
      <c r="J14" s="318"/>
      <c r="K14" s="318"/>
      <c r="L14" s="318"/>
      <c r="M14" s="318"/>
      <c r="N14" s="318"/>
      <c r="O14" s="319"/>
      <c r="P14" s="320"/>
      <c r="Q14" s="321"/>
      <c r="R14" s="322"/>
      <c r="S14" s="318"/>
      <c r="T14" s="318"/>
      <c r="U14" s="318"/>
      <c r="V14" s="318"/>
      <c r="W14" s="318"/>
      <c r="X14" s="318"/>
      <c r="Y14" s="318"/>
      <c r="Z14" s="319"/>
      <c r="AA14" s="320"/>
      <c r="AB14" s="321"/>
      <c r="AC14" s="323"/>
      <c r="AD14" s="324"/>
      <c r="AE14" s="325"/>
      <c r="AF14" s="320"/>
      <c r="AG14" s="267"/>
      <c r="AH14" s="295"/>
      <c r="AI14" s="296"/>
      <c r="AJ14" s="296"/>
      <c r="AK14" s="296"/>
      <c r="AL14" s="296"/>
      <c r="AM14" s="297"/>
      <c r="AN14" s="478"/>
      <c r="AO14" s="478"/>
      <c r="AP14" s="478"/>
      <c r="AQ14" s="478"/>
      <c r="AR14" s="478"/>
      <c r="AS14" s="478"/>
      <c r="AT14" s="478"/>
      <c r="AU14" s="478"/>
      <c r="AV14" s="478"/>
      <c r="AW14" s="478"/>
      <c r="AX14" s="478"/>
      <c r="AY14" s="478"/>
      <c r="AZ14" s="478"/>
      <c r="BA14" s="478"/>
      <c r="BB14" s="478"/>
      <c r="BC14" s="478"/>
      <c r="BD14" s="478"/>
      <c r="BE14" s="478"/>
      <c r="BF14" s="478"/>
      <c r="BG14" s="478"/>
      <c r="BH14" s="478"/>
      <c r="BI14" s="478"/>
      <c r="BJ14" s="478"/>
      <c r="BK14" s="478"/>
      <c r="BL14" s="478"/>
      <c r="BM14" s="478"/>
      <c r="BN14" s="479"/>
    </row>
    <row r="15" spans="1:66" ht="17.25" customHeight="1">
      <c r="A15" s="172" t="s">
        <v>52</v>
      </c>
      <c r="B15" s="133"/>
      <c r="C15" s="133"/>
      <c r="D15" s="133"/>
      <c r="E15" s="133"/>
      <c r="F15" s="134"/>
      <c r="G15" s="282"/>
      <c r="H15" s="283"/>
      <c r="I15" s="283"/>
      <c r="J15" s="283"/>
      <c r="K15" s="283"/>
      <c r="L15" s="283"/>
      <c r="M15" s="283"/>
      <c r="N15" s="283"/>
      <c r="O15" s="284"/>
      <c r="P15" s="482" t="s">
        <v>60</v>
      </c>
      <c r="Q15" s="185"/>
      <c r="R15" s="185"/>
      <c r="S15" s="185"/>
      <c r="T15" s="185"/>
      <c r="U15" s="483"/>
      <c r="V15" s="290"/>
      <c r="W15" s="171"/>
      <c r="X15" s="171"/>
      <c r="Y15" s="171"/>
      <c r="Z15" s="171"/>
      <c r="AA15" s="171"/>
      <c r="AB15" s="171"/>
      <c r="AC15" s="171"/>
      <c r="AD15" s="171"/>
      <c r="AE15" s="291"/>
      <c r="AF15" s="486" t="s">
        <v>40</v>
      </c>
      <c r="AG15" s="292"/>
      <c r="AH15" s="295"/>
      <c r="AI15" s="296"/>
      <c r="AJ15" s="296"/>
      <c r="AK15" s="296"/>
      <c r="AL15" s="296"/>
      <c r="AM15" s="297"/>
      <c r="AN15" s="478"/>
      <c r="AO15" s="478"/>
      <c r="AP15" s="478"/>
      <c r="AQ15" s="478"/>
      <c r="AR15" s="478"/>
      <c r="AS15" s="478"/>
      <c r="AT15" s="478"/>
      <c r="AU15" s="478"/>
      <c r="AV15" s="478"/>
      <c r="AW15" s="478"/>
      <c r="AX15" s="478"/>
      <c r="AY15" s="478"/>
      <c r="AZ15" s="478"/>
      <c r="BA15" s="478"/>
      <c r="BB15" s="478"/>
      <c r="BC15" s="478"/>
      <c r="BD15" s="478"/>
      <c r="BE15" s="478"/>
      <c r="BF15" s="478"/>
      <c r="BG15" s="478"/>
      <c r="BH15" s="478"/>
      <c r="BI15" s="478"/>
      <c r="BJ15" s="478"/>
      <c r="BK15" s="478"/>
      <c r="BL15" s="478"/>
      <c r="BM15" s="478"/>
      <c r="BN15" s="479"/>
    </row>
    <row r="16" spans="1:66" ht="17.25" customHeight="1">
      <c r="A16" s="135"/>
      <c r="B16" s="136"/>
      <c r="C16" s="136"/>
      <c r="D16" s="136"/>
      <c r="E16" s="136"/>
      <c r="F16" s="137"/>
      <c r="G16" s="285"/>
      <c r="H16" s="286"/>
      <c r="I16" s="286"/>
      <c r="J16" s="286"/>
      <c r="K16" s="286"/>
      <c r="L16" s="286"/>
      <c r="M16" s="286"/>
      <c r="N16" s="286"/>
      <c r="O16" s="287"/>
      <c r="P16" s="484"/>
      <c r="Q16" s="188"/>
      <c r="R16" s="188"/>
      <c r="S16" s="188"/>
      <c r="T16" s="188"/>
      <c r="U16" s="485"/>
      <c r="V16" s="293"/>
      <c r="W16" s="148"/>
      <c r="X16" s="148"/>
      <c r="Y16" s="148"/>
      <c r="Z16" s="148"/>
      <c r="AA16" s="148"/>
      <c r="AB16" s="148"/>
      <c r="AC16" s="148"/>
      <c r="AD16" s="148"/>
      <c r="AE16" s="294"/>
      <c r="AF16" s="487" t="s">
        <v>47</v>
      </c>
      <c r="AG16" s="317"/>
      <c r="AH16" s="295"/>
      <c r="AI16" s="296"/>
      <c r="AJ16" s="296"/>
      <c r="AK16" s="296"/>
      <c r="AL16" s="296"/>
      <c r="AM16" s="297"/>
      <c r="AN16" s="478"/>
      <c r="AO16" s="478"/>
      <c r="AP16" s="478"/>
      <c r="AQ16" s="478"/>
      <c r="AR16" s="478"/>
      <c r="AS16" s="478"/>
      <c r="AT16" s="478"/>
      <c r="AU16" s="478"/>
      <c r="AV16" s="478"/>
      <c r="AW16" s="478"/>
      <c r="AX16" s="478"/>
      <c r="AY16" s="478"/>
      <c r="AZ16" s="478"/>
      <c r="BA16" s="478"/>
      <c r="BB16" s="478"/>
      <c r="BC16" s="478"/>
      <c r="BD16" s="478"/>
      <c r="BE16" s="478"/>
      <c r="BF16" s="478"/>
      <c r="BG16" s="478"/>
      <c r="BH16" s="478"/>
      <c r="BI16" s="478"/>
      <c r="BJ16" s="478"/>
      <c r="BK16" s="478"/>
      <c r="BL16" s="478"/>
      <c r="BM16" s="478"/>
      <c r="BN16" s="479"/>
    </row>
    <row r="17" spans="1:66" ht="17.25" customHeight="1">
      <c r="A17" s="172" t="s">
        <v>51</v>
      </c>
      <c r="B17" s="133"/>
      <c r="C17" s="133"/>
      <c r="D17" s="133"/>
      <c r="E17" s="133"/>
      <c r="F17" s="134"/>
      <c r="G17" s="307"/>
      <c r="H17" s="308"/>
      <c r="I17" s="308"/>
      <c r="J17" s="308"/>
      <c r="K17" s="308"/>
      <c r="L17" s="308"/>
      <c r="M17" s="308"/>
      <c r="N17" s="308"/>
      <c r="O17" s="309"/>
      <c r="P17" s="482" t="s">
        <v>60</v>
      </c>
      <c r="Q17" s="185"/>
      <c r="R17" s="185"/>
      <c r="S17" s="185"/>
      <c r="T17" s="185"/>
      <c r="U17" s="483"/>
      <c r="V17" s="290"/>
      <c r="W17" s="171"/>
      <c r="X17" s="171"/>
      <c r="Y17" s="171"/>
      <c r="Z17" s="171"/>
      <c r="AA17" s="171"/>
      <c r="AB17" s="171"/>
      <c r="AC17" s="171"/>
      <c r="AD17" s="171"/>
      <c r="AE17" s="291"/>
      <c r="AF17" s="281" t="s">
        <v>40</v>
      </c>
      <c r="AG17" s="292"/>
      <c r="AH17" s="295"/>
      <c r="AI17" s="296"/>
      <c r="AJ17" s="296"/>
      <c r="AK17" s="296"/>
      <c r="AL17" s="296"/>
      <c r="AM17" s="297"/>
      <c r="AN17" s="478"/>
      <c r="AO17" s="478"/>
      <c r="AP17" s="478"/>
      <c r="AQ17" s="478"/>
      <c r="AR17" s="478"/>
      <c r="AS17" s="478"/>
      <c r="AT17" s="478"/>
      <c r="AU17" s="478"/>
      <c r="AV17" s="478"/>
      <c r="AW17" s="478"/>
      <c r="AX17" s="478"/>
      <c r="AY17" s="478"/>
      <c r="AZ17" s="478"/>
      <c r="BA17" s="478"/>
      <c r="BB17" s="478"/>
      <c r="BC17" s="478"/>
      <c r="BD17" s="478"/>
      <c r="BE17" s="478"/>
      <c r="BF17" s="478"/>
      <c r="BG17" s="478"/>
      <c r="BH17" s="478"/>
      <c r="BI17" s="478"/>
      <c r="BJ17" s="478"/>
      <c r="BK17" s="478"/>
      <c r="BL17" s="478"/>
      <c r="BM17" s="478"/>
      <c r="BN17" s="479"/>
    </row>
    <row r="18" spans="1:66" ht="17.25" customHeight="1">
      <c r="A18" s="135"/>
      <c r="B18" s="136"/>
      <c r="C18" s="136"/>
      <c r="D18" s="136"/>
      <c r="E18" s="136"/>
      <c r="F18" s="137"/>
      <c r="G18" s="310"/>
      <c r="H18" s="311"/>
      <c r="I18" s="311"/>
      <c r="J18" s="311"/>
      <c r="K18" s="311"/>
      <c r="L18" s="311"/>
      <c r="M18" s="311"/>
      <c r="N18" s="311"/>
      <c r="O18" s="312"/>
      <c r="P18" s="484"/>
      <c r="Q18" s="188"/>
      <c r="R18" s="188"/>
      <c r="S18" s="188"/>
      <c r="T18" s="188"/>
      <c r="U18" s="485"/>
      <c r="V18" s="293"/>
      <c r="W18" s="148"/>
      <c r="X18" s="148"/>
      <c r="Y18" s="148"/>
      <c r="Z18" s="148"/>
      <c r="AA18" s="148"/>
      <c r="AB18" s="148"/>
      <c r="AC18" s="148"/>
      <c r="AD18" s="148"/>
      <c r="AE18" s="294"/>
      <c r="AF18" s="487" t="s">
        <v>47</v>
      </c>
      <c r="AG18" s="317"/>
      <c r="AH18" s="135"/>
      <c r="AI18" s="136"/>
      <c r="AJ18" s="136"/>
      <c r="AK18" s="136"/>
      <c r="AL18" s="136"/>
      <c r="AM18" s="137"/>
      <c r="AN18" s="480"/>
      <c r="AO18" s="480"/>
      <c r="AP18" s="480"/>
      <c r="AQ18" s="480"/>
      <c r="AR18" s="480"/>
      <c r="AS18" s="480"/>
      <c r="AT18" s="480"/>
      <c r="AU18" s="480"/>
      <c r="AV18" s="480"/>
      <c r="AW18" s="480"/>
      <c r="AX18" s="480"/>
      <c r="AY18" s="480"/>
      <c r="AZ18" s="480"/>
      <c r="BA18" s="480"/>
      <c r="BB18" s="480"/>
      <c r="BC18" s="480"/>
      <c r="BD18" s="480"/>
      <c r="BE18" s="480"/>
      <c r="BF18" s="480"/>
      <c r="BG18" s="480"/>
      <c r="BH18" s="480"/>
      <c r="BI18" s="480"/>
      <c r="BJ18" s="480"/>
      <c r="BK18" s="480"/>
      <c r="BL18" s="480"/>
      <c r="BM18" s="480"/>
      <c r="BN18" s="481"/>
    </row>
    <row r="19" spans="1:66" ht="6.75" customHeight="1">
      <c r="BH19" s="82"/>
    </row>
    <row r="20" spans="1:66" ht="17.25" customHeight="1">
      <c r="A20" s="488"/>
      <c r="B20" s="172" t="s">
        <v>53</v>
      </c>
      <c r="C20" s="133"/>
      <c r="D20" s="133"/>
      <c r="E20" s="133"/>
      <c r="F20" s="134"/>
      <c r="G20" s="490" t="s">
        <v>125</v>
      </c>
      <c r="H20" s="491"/>
      <c r="I20" s="491"/>
      <c r="J20" s="491"/>
      <c r="K20" s="491"/>
      <c r="L20" s="132" t="s">
        <v>126</v>
      </c>
      <c r="M20" s="133"/>
      <c r="N20" s="133"/>
      <c r="O20" s="134"/>
      <c r="P20" s="133" t="s">
        <v>127</v>
      </c>
      <c r="Q20" s="133"/>
      <c r="R20" s="133"/>
      <c r="S20" s="134"/>
      <c r="T20" s="172" t="s">
        <v>128</v>
      </c>
      <c r="U20" s="133"/>
      <c r="V20" s="133"/>
      <c r="W20" s="133"/>
      <c r="X20" s="133"/>
      <c r="Y20" s="133"/>
      <c r="Z20" s="133"/>
      <c r="AA20" s="133"/>
      <c r="AB20" s="133"/>
      <c r="AC20" s="133"/>
      <c r="AD20" s="133"/>
      <c r="AE20" s="133"/>
      <c r="AF20" s="133"/>
      <c r="AG20" s="134"/>
      <c r="AH20" s="488"/>
      <c r="AI20" s="172" t="s">
        <v>53</v>
      </c>
      <c r="AJ20" s="133"/>
      <c r="AK20" s="133"/>
      <c r="AL20" s="133"/>
      <c r="AM20" s="134"/>
      <c r="AN20" s="490" t="s">
        <v>125</v>
      </c>
      <c r="AO20" s="491"/>
      <c r="AP20" s="491"/>
      <c r="AQ20" s="491"/>
      <c r="AR20" s="491"/>
      <c r="AS20" s="132" t="s">
        <v>126</v>
      </c>
      <c r="AT20" s="133"/>
      <c r="AU20" s="133"/>
      <c r="AV20" s="134"/>
      <c r="AW20" s="133" t="s">
        <v>127</v>
      </c>
      <c r="AX20" s="133"/>
      <c r="AY20" s="133"/>
      <c r="AZ20" s="134"/>
      <c r="BA20" s="172" t="s">
        <v>128</v>
      </c>
      <c r="BB20" s="133"/>
      <c r="BC20" s="133"/>
      <c r="BD20" s="133"/>
      <c r="BE20" s="133"/>
      <c r="BF20" s="133"/>
      <c r="BG20" s="133"/>
      <c r="BH20" s="133"/>
      <c r="BI20" s="133"/>
      <c r="BJ20" s="133"/>
      <c r="BK20" s="133"/>
      <c r="BL20" s="133"/>
      <c r="BM20" s="133"/>
      <c r="BN20" s="134"/>
    </row>
    <row r="21" spans="1:66" ht="17.25" customHeight="1">
      <c r="A21" s="489"/>
      <c r="B21" s="135"/>
      <c r="C21" s="136"/>
      <c r="D21" s="136"/>
      <c r="E21" s="136"/>
      <c r="F21" s="137"/>
      <c r="G21" s="135" t="s">
        <v>129</v>
      </c>
      <c r="H21" s="136"/>
      <c r="I21" s="136"/>
      <c r="J21" s="136"/>
      <c r="K21" s="136"/>
      <c r="L21" s="135"/>
      <c r="M21" s="136"/>
      <c r="N21" s="136"/>
      <c r="O21" s="137"/>
      <c r="P21" s="136"/>
      <c r="Q21" s="136"/>
      <c r="R21" s="136"/>
      <c r="S21" s="137"/>
      <c r="T21" s="135" t="s">
        <v>130</v>
      </c>
      <c r="U21" s="136"/>
      <c r="V21" s="136"/>
      <c r="W21" s="136"/>
      <c r="X21" s="136"/>
      <c r="Y21" s="136"/>
      <c r="Z21" s="136"/>
      <c r="AA21" s="136"/>
      <c r="AB21" s="136"/>
      <c r="AC21" s="136"/>
      <c r="AD21" s="136"/>
      <c r="AE21" s="136"/>
      <c r="AF21" s="136"/>
      <c r="AG21" s="137"/>
      <c r="AH21" s="489"/>
      <c r="AI21" s="135"/>
      <c r="AJ21" s="136"/>
      <c r="AK21" s="136"/>
      <c r="AL21" s="136"/>
      <c r="AM21" s="137"/>
      <c r="AN21" s="135" t="s">
        <v>129</v>
      </c>
      <c r="AO21" s="136"/>
      <c r="AP21" s="136"/>
      <c r="AQ21" s="136"/>
      <c r="AR21" s="136"/>
      <c r="AS21" s="135"/>
      <c r="AT21" s="136"/>
      <c r="AU21" s="136"/>
      <c r="AV21" s="137"/>
      <c r="AW21" s="136"/>
      <c r="AX21" s="136"/>
      <c r="AY21" s="136"/>
      <c r="AZ21" s="137"/>
      <c r="BA21" s="135" t="s">
        <v>131</v>
      </c>
      <c r="BB21" s="136"/>
      <c r="BC21" s="136"/>
      <c r="BD21" s="136"/>
      <c r="BE21" s="136"/>
      <c r="BF21" s="136"/>
      <c r="BG21" s="136"/>
      <c r="BH21" s="136"/>
      <c r="BI21" s="136"/>
      <c r="BJ21" s="136"/>
      <c r="BK21" s="136"/>
      <c r="BL21" s="136"/>
      <c r="BM21" s="136"/>
      <c r="BN21" s="137"/>
    </row>
    <row r="22" spans="1:66" ht="15.75" customHeight="1">
      <c r="A22" s="488">
        <v>1</v>
      </c>
      <c r="B22" s="333"/>
      <c r="C22" s="334"/>
      <c r="D22" s="334"/>
      <c r="E22" s="334"/>
      <c r="F22" s="335"/>
      <c r="G22" s="496"/>
      <c r="H22" s="497"/>
      <c r="I22" s="497"/>
      <c r="J22" s="497"/>
      <c r="K22" s="498"/>
      <c r="L22" s="282"/>
      <c r="M22" s="283"/>
      <c r="N22" s="283"/>
      <c r="O22" s="499"/>
      <c r="P22" s="282"/>
      <c r="Q22" s="283"/>
      <c r="R22" s="283"/>
      <c r="S22" s="499"/>
      <c r="T22" s="507"/>
      <c r="U22" s="508"/>
      <c r="V22" s="508"/>
      <c r="W22" s="508"/>
      <c r="X22" s="508"/>
      <c r="Y22" s="508"/>
      <c r="Z22" s="508"/>
      <c r="AA22" s="508"/>
      <c r="AB22" s="508"/>
      <c r="AC22" s="508"/>
      <c r="AD22" s="508"/>
      <c r="AE22" s="508"/>
      <c r="AF22" s="508"/>
      <c r="AG22" s="509"/>
      <c r="AH22" s="488">
        <v>4</v>
      </c>
      <c r="AI22" s="333"/>
      <c r="AJ22" s="334"/>
      <c r="AK22" s="334"/>
      <c r="AL22" s="334"/>
      <c r="AM22" s="335"/>
      <c r="AN22" s="496"/>
      <c r="AO22" s="497"/>
      <c r="AP22" s="497"/>
      <c r="AQ22" s="497"/>
      <c r="AR22" s="498"/>
      <c r="AS22" s="282"/>
      <c r="AT22" s="283"/>
      <c r="AU22" s="283"/>
      <c r="AV22" s="499"/>
      <c r="AW22" s="282"/>
      <c r="AX22" s="283"/>
      <c r="AY22" s="283"/>
      <c r="AZ22" s="499"/>
      <c r="BA22" s="507"/>
      <c r="BB22" s="508"/>
      <c r="BC22" s="508"/>
      <c r="BD22" s="508"/>
      <c r="BE22" s="508"/>
      <c r="BF22" s="508"/>
      <c r="BG22" s="508"/>
      <c r="BH22" s="508"/>
      <c r="BI22" s="508"/>
      <c r="BJ22" s="508"/>
      <c r="BK22" s="508"/>
      <c r="BL22" s="508"/>
      <c r="BM22" s="508"/>
      <c r="BN22" s="509"/>
    </row>
    <row r="23" spans="1:66" ht="15.75" customHeight="1">
      <c r="A23" s="492"/>
      <c r="B23" s="493"/>
      <c r="C23" s="494"/>
      <c r="D23" s="494"/>
      <c r="E23" s="494"/>
      <c r="F23" s="495"/>
      <c r="G23" s="510"/>
      <c r="H23" s="511"/>
      <c r="I23" s="511"/>
      <c r="J23" s="511"/>
      <c r="K23" s="512"/>
      <c r="L23" s="500"/>
      <c r="M23" s="501"/>
      <c r="N23" s="501"/>
      <c r="O23" s="502"/>
      <c r="P23" s="504"/>
      <c r="Q23" s="505"/>
      <c r="R23" s="505"/>
      <c r="S23" s="506"/>
      <c r="T23" s="513"/>
      <c r="U23" s="514"/>
      <c r="V23" s="514"/>
      <c r="W23" s="514"/>
      <c r="X23" s="514"/>
      <c r="Y23" s="514"/>
      <c r="Z23" s="514"/>
      <c r="AA23" s="514"/>
      <c r="AB23" s="514"/>
      <c r="AC23" s="514"/>
      <c r="AD23" s="514"/>
      <c r="AE23" s="514"/>
      <c r="AF23" s="514"/>
      <c r="AG23" s="515"/>
      <c r="AH23" s="492"/>
      <c r="AI23" s="493"/>
      <c r="AJ23" s="494"/>
      <c r="AK23" s="494"/>
      <c r="AL23" s="494"/>
      <c r="AM23" s="495"/>
      <c r="AN23" s="510"/>
      <c r="AO23" s="511"/>
      <c r="AP23" s="511"/>
      <c r="AQ23" s="511"/>
      <c r="AR23" s="512"/>
      <c r="AS23" s="500"/>
      <c r="AT23" s="501"/>
      <c r="AU23" s="501"/>
      <c r="AV23" s="502"/>
      <c r="AW23" s="504"/>
      <c r="AX23" s="505"/>
      <c r="AY23" s="505"/>
      <c r="AZ23" s="506"/>
      <c r="BA23" s="513"/>
      <c r="BB23" s="514"/>
      <c r="BC23" s="514"/>
      <c r="BD23" s="514"/>
      <c r="BE23" s="514"/>
      <c r="BF23" s="514"/>
      <c r="BG23" s="514"/>
      <c r="BH23" s="514"/>
      <c r="BI23" s="514"/>
      <c r="BJ23" s="514"/>
      <c r="BK23" s="514"/>
      <c r="BL23" s="514"/>
      <c r="BM23" s="514"/>
      <c r="BN23" s="515"/>
    </row>
    <row r="24" spans="1:66" ht="15.75" customHeight="1">
      <c r="A24" s="492"/>
      <c r="B24" s="516"/>
      <c r="C24" s="517"/>
      <c r="D24" s="517"/>
      <c r="E24" s="517"/>
      <c r="F24" s="518"/>
      <c r="G24" s="504"/>
      <c r="H24" s="505"/>
      <c r="I24" s="505"/>
      <c r="J24" s="505"/>
      <c r="K24" s="505"/>
      <c r="L24" s="500"/>
      <c r="M24" s="501"/>
      <c r="N24" s="501"/>
      <c r="O24" s="502"/>
      <c r="P24" s="501"/>
      <c r="Q24" s="501"/>
      <c r="R24" s="501"/>
      <c r="S24" s="502"/>
      <c r="T24" s="521"/>
      <c r="U24" s="522"/>
      <c r="V24" s="522"/>
      <c r="W24" s="522"/>
      <c r="X24" s="522"/>
      <c r="Y24" s="522"/>
      <c r="Z24" s="522"/>
      <c r="AA24" s="522"/>
      <c r="AB24" s="522"/>
      <c r="AC24" s="522"/>
      <c r="AD24" s="522"/>
      <c r="AE24" s="522"/>
      <c r="AF24" s="522"/>
      <c r="AG24" s="523"/>
      <c r="AH24" s="492"/>
      <c r="AI24" s="516"/>
      <c r="AJ24" s="517"/>
      <c r="AK24" s="517"/>
      <c r="AL24" s="517"/>
      <c r="AM24" s="518"/>
      <c r="AN24" s="504"/>
      <c r="AO24" s="505"/>
      <c r="AP24" s="505"/>
      <c r="AQ24" s="505"/>
      <c r="AR24" s="505"/>
      <c r="AS24" s="500"/>
      <c r="AT24" s="501"/>
      <c r="AU24" s="501"/>
      <c r="AV24" s="502"/>
      <c r="AW24" s="501"/>
      <c r="AX24" s="501"/>
      <c r="AY24" s="501"/>
      <c r="AZ24" s="502"/>
      <c r="BA24" s="521"/>
      <c r="BB24" s="522"/>
      <c r="BC24" s="522"/>
      <c r="BD24" s="522"/>
      <c r="BE24" s="522"/>
      <c r="BF24" s="522"/>
      <c r="BG24" s="522"/>
      <c r="BH24" s="522"/>
      <c r="BI24" s="522"/>
      <c r="BJ24" s="522"/>
      <c r="BK24" s="522"/>
      <c r="BL24" s="522"/>
      <c r="BM24" s="522"/>
      <c r="BN24" s="523"/>
    </row>
    <row r="25" spans="1:66" ht="15.75" customHeight="1">
      <c r="A25" s="489"/>
      <c r="B25" s="336"/>
      <c r="C25" s="337"/>
      <c r="D25" s="337"/>
      <c r="E25" s="337"/>
      <c r="F25" s="338"/>
      <c r="G25" s="519"/>
      <c r="H25" s="520"/>
      <c r="I25" s="520"/>
      <c r="J25" s="520"/>
      <c r="K25" s="520"/>
      <c r="L25" s="285"/>
      <c r="M25" s="286"/>
      <c r="N25" s="286"/>
      <c r="O25" s="503"/>
      <c r="P25" s="286"/>
      <c r="Q25" s="286"/>
      <c r="R25" s="286"/>
      <c r="S25" s="503"/>
      <c r="T25" s="144"/>
      <c r="U25" s="145"/>
      <c r="V25" s="145"/>
      <c r="W25" s="145"/>
      <c r="X25" s="145"/>
      <c r="Y25" s="145"/>
      <c r="Z25" s="145"/>
      <c r="AA25" s="145"/>
      <c r="AB25" s="145"/>
      <c r="AC25" s="145"/>
      <c r="AD25" s="145"/>
      <c r="AE25" s="145"/>
      <c r="AF25" s="145"/>
      <c r="AG25" s="146"/>
      <c r="AH25" s="489"/>
      <c r="AI25" s="336"/>
      <c r="AJ25" s="337"/>
      <c r="AK25" s="337"/>
      <c r="AL25" s="337"/>
      <c r="AM25" s="338"/>
      <c r="AN25" s="519"/>
      <c r="AO25" s="520"/>
      <c r="AP25" s="520"/>
      <c r="AQ25" s="520"/>
      <c r="AR25" s="520"/>
      <c r="AS25" s="285"/>
      <c r="AT25" s="286"/>
      <c r="AU25" s="286"/>
      <c r="AV25" s="503"/>
      <c r="AW25" s="286"/>
      <c r="AX25" s="286"/>
      <c r="AY25" s="286"/>
      <c r="AZ25" s="503"/>
      <c r="BA25" s="144"/>
      <c r="BB25" s="145"/>
      <c r="BC25" s="145"/>
      <c r="BD25" s="145"/>
      <c r="BE25" s="145"/>
      <c r="BF25" s="145"/>
      <c r="BG25" s="145"/>
      <c r="BH25" s="145"/>
      <c r="BI25" s="145"/>
      <c r="BJ25" s="145"/>
      <c r="BK25" s="145"/>
      <c r="BL25" s="145"/>
      <c r="BM25" s="145"/>
      <c r="BN25" s="146"/>
    </row>
    <row r="26" spans="1:66" ht="15.75" customHeight="1">
      <c r="A26" s="488">
        <v>2</v>
      </c>
      <c r="B26" s="333"/>
      <c r="C26" s="334"/>
      <c r="D26" s="334"/>
      <c r="E26" s="334"/>
      <c r="F26" s="335"/>
      <c r="G26" s="496"/>
      <c r="H26" s="497"/>
      <c r="I26" s="497"/>
      <c r="J26" s="497"/>
      <c r="K26" s="498"/>
      <c r="L26" s="282"/>
      <c r="M26" s="283"/>
      <c r="N26" s="283"/>
      <c r="O26" s="499"/>
      <c r="P26" s="282"/>
      <c r="Q26" s="283"/>
      <c r="R26" s="283"/>
      <c r="S26" s="499"/>
      <c r="T26" s="507"/>
      <c r="U26" s="508"/>
      <c r="V26" s="508"/>
      <c r="W26" s="508"/>
      <c r="X26" s="508"/>
      <c r="Y26" s="508"/>
      <c r="Z26" s="508"/>
      <c r="AA26" s="508"/>
      <c r="AB26" s="508"/>
      <c r="AC26" s="508"/>
      <c r="AD26" s="508"/>
      <c r="AE26" s="508"/>
      <c r="AF26" s="508"/>
      <c r="AG26" s="509"/>
      <c r="AH26" s="488">
        <v>5</v>
      </c>
      <c r="AI26" s="333"/>
      <c r="AJ26" s="334"/>
      <c r="AK26" s="334"/>
      <c r="AL26" s="334"/>
      <c r="AM26" s="335"/>
      <c r="AN26" s="496"/>
      <c r="AO26" s="497"/>
      <c r="AP26" s="497"/>
      <c r="AQ26" s="497"/>
      <c r="AR26" s="498"/>
      <c r="AS26" s="282"/>
      <c r="AT26" s="283"/>
      <c r="AU26" s="283"/>
      <c r="AV26" s="499"/>
      <c r="AW26" s="282"/>
      <c r="AX26" s="283"/>
      <c r="AY26" s="283"/>
      <c r="AZ26" s="499"/>
      <c r="BA26" s="507"/>
      <c r="BB26" s="508"/>
      <c r="BC26" s="508"/>
      <c r="BD26" s="508"/>
      <c r="BE26" s="508"/>
      <c r="BF26" s="508"/>
      <c r="BG26" s="508"/>
      <c r="BH26" s="508"/>
      <c r="BI26" s="508"/>
      <c r="BJ26" s="508"/>
      <c r="BK26" s="508"/>
      <c r="BL26" s="508"/>
      <c r="BM26" s="508"/>
      <c r="BN26" s="509"/>
    </row>
    <row r="27" spans="1:66" ht="15.75" customHeight="1">
      <c r="A27" s="492"/>
      <c r="B27" s="493"/>
      <c r="C27" s="494"/>
      <c r="D27" s="494"/>
      <c r="E27" s="494"/>
      <c r="F27" s="495"/>
      <c r="G27" s="510"/>
      <c r="H27" s="511"/>
      <c r="I27" s="511"/>
      <c r="J27" s="511"/>
      <c r="K27" s="512"/>
      <c r="L27" s="500"/>
      <c r="M27" s="501"/>
      <c r="N27" s="501"/>
      <c r="O27" s="502"/>
      <c r="P27" s="504"/>
      <c r="Q27" s="505"/>
      <c r="R27" s="505"/>
      <c r="S27" s="506"/>
      <c r="T27" s="513"/>
      <c r="U27" s="514"/>
      <c r="V27" s="514"/>
      <c r="W27" s="514"/>
      <c r="X27" s="514"/>
      <c r="Y27" s="514"/>
      <c r="Z27" s="514"/>
      <c r="AA27" s="514"/>
      <c r="AB27" s="514"/>
      <c r="AC27" s="514"/>
      <c r="AD27" s="514"/>
      <c r="AE27" s="514"/>
      <c r="AF27" s="514"/>
      <c r="AG27" s="515"/>
      <c r="AH27" s="492"/>
      <c r="AI27" s="493"/>
      <c r="AJ27" s="494"/>
      <c r="AK27" s="494"/>
      <c r="AL27" s="494"/>
      <c r="AM27" s="495"/>
      <c r="AN27" s="510"/>
      <c r="AO27" s="511"/>
      <c r="AP27" s="511"/>
      <c r="AQ27" s="511"/>
      <c r="AR27" s="512"/>
      <c r="AS27" s="500"/>
      <c r="AT27" s="501"/>
      <c r="AU27" s="501"/>
      <c r="AV27" s="502"/>
      <c r="AW27" s="504"/>
      <c r="AX27" s="505"/>
      <c r="AY27" s="505"/>
      <c r="AZ27" s="506"/>
      <c r="BA27" s="513"/>
      <c r="BB27" s="514"/>
      <c r="BC27" s="514"/>
      <c r="BD27" s="514"/>
      <c r="BE27" s="514"/>
      <c r="BF27" s="514"/>
      <c r="BG27" s="514"/>
      <c r="BH27" s="514"/>
      <c r="BI27" s="514"/>
      <c r="BJ27" s="514"/>
      <c r="BK27" s="514"/>
      <c r="BL27" s="514"/>
      <c r="BM27" s="514"/>
      <c r="BN27" s="515"/>
    </row>
    <row r="28" spans="1:66" ht="15.75" customHeight="1">
      <c r="A28" s="492"/>
      <c r="B28" s="516"/>
      <c r="C28" s="517"/>
      <c r="D28" s="517"/>
      <c r="E28" s="517"/>
      <c r="F28" s="518"/>
      <c r="G28" s="504"/>
      <c r="H28" s="505"/>
      <c r="I28" s="505"/>
      <c r="J28" s="505"/>
      <c r="K28" s="505"/>
      <c r="L28" s="500"/>
      <c r="M28" s="501"/>
      <c r="N28" s="501"/>
      <c r="O28" s="502"/>
      <c r="P28" s="501"/>
      <c r="Q28" s="501"/>
      <c r="R28" s="501"/>
      <c r="S28" s="502"/>
      <c r="T28" s="521"/>
      <c r="U28" s="522"/>
      <c r="V28" s="522"/>
      <c r="W28" s="522"/>
      <c r="X28" s="522"/>
      <c r="Y28" s="522"/>
      <c r="Z28" s="522"/>
      <c r="AA28" s="522"/>
      <c r="AB28" s="522"/>
      <c r="AC28" s="522"/>
      <c r="AD28" s="522"/>
      <c r="AE28" s="522"/>
      <c r="AF28" s="522"/>
      <c r="AG28" s="523"/>
      <c r="AH28" s="492"/>
      <c r="AI28" s="516"/>
      <c r="AJ28" s="517"/>
      <c r="AK28" s="517"/>
      <c r="AL28" s="517"/>
      <c r="AM28" s="518"/>
      <c r="AN28" s="504"/>
      <c r="AO28" s="505"/>
      <c r="AP28" s="505"/>
      <c r="AQ28" s="505"/>
      <c r="AR28" s="505"/>
      <c r="AS28" s="500"/>
      <c r="AT28" s="501"/>
      <c r="AU28" s="501"/>
      <c r="AV28" s="502"/>
      <c r="AW28" s="501"/>
      <c r="AX28" s="501"/>
      <c r="AY28" s="501"/>
      <c r="AZ28" s="502"/>
      <c r="BA28" s="521"/>
      <c r="BB28" s="522"/>
      <c r="BC28" s="522"/>
      <c r="BD28" s="522"/>
      <c r="BE28" s="522"/>
      <c r="BF28" s="522"/>
      <c r="BG28" s="522"/>
      <c r="BH28" s="522"/>
      <c r="BI28" s="522"/>
      <c r="BJ28" s="522"/>
      <c r="BK28" s="522"/>
      <c r="BL28" s="522"/>
      <c r="BM28" s="522"/>
      <c r="BN28" s="523"/>
    </row>
    <row r="29" spans="1:66" ht="15.75" customHeight="1">
      <c r="A29" s="489"/>
      <c r="B29" s="336"/>
      <c r="C29" s="337"/>
      <c r="D29" s="337"/>
      <c r="E29" s="337"/>
      <c r="F29" s="338"/>
      <c r="G29" s="519"/>
      <c r="H29" s="520"/>
      <c r="I29" s="520"/>
      <c r="J29" s="520"/>
      <c r="K29" s="520"/>
      <c r="L29" s="285"/>
      <c r="M29" s="286"/>
      <c r="N29" s="286"/>
      <c r="O29" s="503"/>
      <c r="P29" s="286"/>
      <c r="Q29" s="286"/>
      <c r="R29" s="286"/>
      <c r="S29" s="503"/>
      <c r="T29" s="144"/>
      <c r="U29" s="145"/>
      <c r="V29" s="145"/>
      <c r="W29" s="145"/>
      <c r="X29" s="145"/>
      <c r="Y29" s="145"/>
      <c r="Z29" s="145"/>
      <c r="AA29" s="145"/>
      <c r="AB29" s="145"/>
      <c r="AC29" s="145"/>
      <c r="AD29" s="145"/>
      <c r="AE29" s="145"/>
      <c r="AF29" s="145"/>
      <c r="AG29" s="146"/>
      <c r="AH29" s="489"/>
      <c r="AI29" s="336"/>
      <c r="AJ29" s="337"/>
      <c r="AK29" s="337"/>
      <c r="AL29" s="337"/>
      <c r="AM29" s="338"/>
      <c r="AN29" s="519"/>
      <c r="AO29" s="520"/>
      <c r="AP29" s="520"/>
      <c r="AQ29" s="520"/>
      <c r="AR29" s="520"/>
      <c r="AS29" s="285"/>
      <c r="AT29" s="286"/>
      <c r="AU29" s="286"/>
      <c r="AV29" s="503"/>
      <c r="AW29" s="286"/>
      <c r="AX29" s="286"/>
      <c r="AY29" s="286"/>
      <c r="AZ29" s="503"/>
      <c r="BA29" s="144"/>
      <c r="BB29" s="145"/>
      <c r="BC29" s="145"/>
      <c r="BD29" s="145"/>
      <c r="BE29" s="145"/>
      <c r="BF29" s="145"/>
      <c r="BG29" s="145"/>
      <c r="BH29" s="145"/>
      <c r="BI29" s="145"/>
      <c r="BJ29" s="145"/>
      <c r="BK29" s="145"/>
      <c r="BL29" s="145"/>
      <c r="BM29" s="145"/>
      <c r="BN29" s="146"/>
    </row>
    <row r="30" spans="1:66" ht="15.75" customHeight="1">
      <c r="A30" s="488">
        <v>3</v>
      </c>
      <c r="B30" s="333"/>
      <c r="C30" s="334"/>
      <c r="D30" s="334"/>
      <c r="E30" s="334"/>
      <c r="F30" s="335"/>
      <c r="G30" s="496"/>
      <c r="H30" s="497"/>
      <c r="I30" s="497"/>
      <c r="J30" s="497"/>
      <c r="K30" s="498"/>
      <c r="L30" s="282"/>
      <c r="M30" s="283"/>
      <c r="N30" s="283"/>
      <c r="O30" s="499"/>
      <c r="P30" s="282"/>
      <c r="Q30" s="283"/>
      <c r="R30" s="283"/>
      <c r="S30" s="499"/>
      <c r="T30" s="507"/>
      <c r="U30" s="508"/>
      <c r="V30" s="508"/>
      <c r="W30" s="508"/>
      <c r="X30" s="508"/>
      <c r="Y30" s="508"/>
      <c r="Z30" s="508"/>
      <c r="AA30" s="508"/>
      <c r="AB30" s="508"/>
      <c r="AC30" s="508"/>
      <c r="AD30" s="508"/>
      <c r="AE30" s="508"/>
      <c r="AF30" s="508"/>
      <c r="AG30" s="509"/>
      <c r="AH30" s="488">
        <v>6</v>
      </c>
      <c r="AI30" s="333"/>
      <c r="AJ30" s="334"/>
      <c r="AK30" s="334"/>
      <c r="AL30" s="334"/>
      <c r="AM30" s="335"/>
      <c r="AN30" s="496"/>
      <c r="AO30" s="497"/>
      <c r="AP30" s="497"/>
      <c r="AQ30" s="497"/>
      <c r="AR30" s="498"/>
      <c r="AS30" s="282"/>
      <c r="AT30" s="283"/>
      <c r="AU30" s="283"/>
      <c r="AV30" s="499"/>
      <c r="AW30" s="282"/>
      <c r="AX30" s="283"/>
      <c r="AY30" s="283"/>
      <c r="AZ30" s="499"/>
      <c r="BA30" s="507"/>
      <c r="BB30" s="508"/>
      <c r="BC30" s="508"/>
      <c r="BD30" s="508"/>
      <c r="BE30" s="508"/>
      <c r="BF30" s="508"/>
      <c r="BG30" s="508"/>
      <c r="BH30" s="508"/>
      <c r="BI30" s="508"/>
      <c r="BJ30" s="508"/>
      <c r="BK30" s="508"/>
      <c r="BL30" s="508"/>
      <c r="BM30" s="508"/>
      <c r="BN30" s="509"/>
    </row>
    <row r="31" spans="1:66" ht="15.75" customHeight="1">
      <c r="A31" s="492"/>
      <c r="B31" s="493"/>
      <c r="C31" s="494"/>
      <c r="D31" s="494"/>
      <c r="E31" s="494"/>
      <c r="F31" s="495"/>
      <c r="G31" s="510"/>
      <c r="H31" s="511"/>
      <c r="I31" s="511"/>
      <c r="J31" s="511"/>
      <c r="K31" s="512"/>
      <c r="L31" s="500"/>
      <c r="M31" s="501"/>
      <c r="N31" s="501"/>
      <c r="O31" s="502"/>
      <c r="P31" s="504"/>
      <c r="Q31" s="505"/>
      <c r="R31" s="505"/>
      <c r="S31" s="506"/>
      <c r="T31" s="513"/>
      <c r="U31" s="514"/>
      <c r="V31" s="514"/>
      <c r="W31" s="514"/>
      <c r="X31" s="514"/>
      <c r="Y31" s="514"/>
      <c r="Z31" s="514"/>
      <c r="AA31" s="514"/>
      <c r="AB31" s="514"/>
      <c r="AC31" s="514"/>
      <c r="AD31" s="514"/>
      <c r="AE31" s="514"/>
      <c r="AF31" s="514"/>
      <c r="AG31" s="515"/>
      <c r="AH31" s="492"/>
      <c r="AI31" s="493"/>
      <c r="AJ31" s="494"/>
      <c r="AK31" s="494"/>
      <c r="AL31" s="494"/>
      <c r="AM31" s="495"/>
      <c r="AN31" s="510"/>
      <c r="AO31" s="511"/>
      <c r="AP31" s="511"/>
      <c r="AQ31" s="511"/>
      <c r="AR31" s="512"/>
      <c r="AS31" s="500"/>
      <c r="AT31" s="501"/>
      <c r="AU31" s="501"/>
      <c r="AV31" s="502"/>
      <c r="AW31" s="504"/>
      <c r="AX31" s="505"/>
      <c r="AY31" s="505"/>
      <c r="AZ31" s="506"/>
      <c r="BA31" s="513"/>
      <c r="BB31" s="514"/>
      <c r="BC31" s="514"/>
      <c r="BD31" s="514"/>
      <c r="BE31" s="514"/>
      <c r="BF31" s="514"/>
      <c r="BG31" s="514"/>
      <c r="BH31" s="514"/>
      <c r="BI31" s="514"/>
      <c r="BJ31" s="514"/>
      <c r="BK31" s="514"/>
      <c r="BL31" s="514"/>
      <c r="BM31" s="514"/>
      <c r="BN31" s="515"/>
    </row>
    <row r="32" spans="1:66" ht="15.75" customHeight="1">
      <c r="A32" s="492"/>
      <c r="B32" s="516"/>
      <c r="C32" s="517"/>
      <c r="D32" s="517"/>
      <c r="E32" s="517"/>
      <c r="F32" s="518"/>
      <c r="G32" s="504"/>
      <c r="H32" s="505"/>
      <c r="I32" s="505"/>
      <c r="J32" s="505"/>
      <c r="K32" s="505"/>
      <c r="L32" s="500"/>
      <c r="M32" s="501"/>
      <c r="N32" s="501"/>
      <c r="O32" s="502"/>
      <c r="P32" s="501"/>
      <c r="Q32" s="501"/>
      <c r="R32" s="501"/>
      <c r="S32" s="502"/>
      <c r="T32" s="521"/>
      <c r="U32" s="522"/>
      <c r="V32" s="522"/>
      <c r="W32" s="522"/>
      <c r="X32" s="522"/>
      <c r="Y32" s="522"/>
      <c r="Z32" s="522"/>
      <c r="AA32" s="522"/>
      <c r="AB32" s="522"/>
      <c r="AC32" s="522"/>
      <c r="AD32" s="522"/>
      <c r="AE32" s="522"/>
      <c r="AF32" s="522"/>
      <c r="AG32" s="523"/>
      <c r="AH32" s="492"/>
      <c r="AI32" s="516"/>
      <c r="AJ32" s="517"/>
      <c r="AK32" s="517"/>
      <c r="AL32" s="517"/>
      <c r="AM32" s="518"/>
      <c r="AN32" s="504"/>
      <c r="AO32" s="505"/>
      <c r="AP32" s="505"/>
      <c r="AQ32" s="505"/>
      <c r="AR32" s="505"/>
      <c r="AS32" s="500"/>
      <c r="AT32" s="501"/>
      <c r="AU32" s="501"/>
      <c r="AV32" s="502"/>
      <c r="AW32" s="501"/>
      <c r="AX32" s="501"/>
      <c r="AY32" s="501"/>
      <c r="AZ32" s="502"/>
      <c r="BA32" s="521"/>
      <c r="BB32" s="522"/>
      <c r="BC32" s="522"/>
      <c r="BD32" s="522"/>
      <c r="BE32" s="522"/>
      <c r="BF32" s="522"/>
      <c r="BG32" s="522"/>
      <c r="BH32" s="522"/>
      <c r="BI32" s="522"/>
      <c r="BJ32" s="522"/>
      <c r="BK32" s="522"/>
      <c r="BL32" s="522"/>
      <c r="BM32" s="522"/>
      <c r="BN32" s="523"/>
    </row>
    <row r="33" spans="1:75" ht="15.75" customHeight="1">
      <c r="A33" s="489"/>
      <c r="B33" s="336"/>
      <c r="C33" s="337"/>
      <c r="D33" s="337"/>
      <c r="E33" s="337"/>
      <c r="F33" s="338"/>
      <c r="G33" s="519"/>
      <c r="H33" s="520"/>
      <c r="I33" s="520"/>
      <c r="J33" s="520"/>
      <c r="K33" s="520"/>
      <c r="L33" s="285"/>
      <c r="M33" s="286"/>
      <c r="N33" s="286"/>
      <c r="O33" s="503"/>
      <c r="P33" s="286"/>
      <c r="Q33" s="286"/>
      <c r="R33" s="286"/>
      <c r="S33" s="503"/>
      <c r="T33" s="144"/>
      <c r="U33" s="145"/>
      <c r="V33" s="145"/>
      <c r="W33" s="145"/>
      <c r="X33" s="145"/>
      <c r="Y33" s="145"/>
      <c r="Z33" s="145"/>
      <c r="AA33" s="145"/>
      <c r="AB33" s="145"/>
      <c r="AC33" s="145"/>
      <c r="AD33" s="145"/>
      <c r="AE33" s="145"/>
      <c r="AF33" s="145"/>
      <c r="AG33" s="146"/>
      <c r="AH33" s="489"/>
      <c r="AI33" s="336"/>
      <c r="AJ33" s="337"/>
      <c r="AK33" s="337"/>
      <c r="AL33" s="337"/>
      <c r="AM33" s="338"/>
      <c r="AN33" s="519"/>
      <c r="AO33" s="520"/>
      <c r="AP33" s="520"/>
      <c r="AQ33" s="520"/>
      <c r="AR33" s="520"/>
      <c r="AS33" s="285"/>
      <c r="AT33" s="286"/>
      <c r="AU33" s="286"/>
      <c r="AV33" s="503"/>
      <c r="AW33" s="286"/>
      <c r="AX33" s="286"/>
      <c r="AY33" s="286"/>
      <c r="AZ33" s="503"/>
      <c r="BA33" s="144"/>
      <c r="BB33" s="145"/>
      <c r="BC33" s="145"/>
      <c r="BD33" s="145"/>
      <c r="BE33" s="145"/>
      <c r="BF33" s="145"/>
      <c r="BG33" s="145"/>
      <c r="BH33" s="145"/>
      <c r="BI33" s="145"/>
      <c r="BJ33" s="145"/>
      <c r="BK33" s="145"/>
      <c r="BL33" s="145"/>
      <c r="BM33" s="145"/>
      <c r="BN33" s="146"/>
    </row>
    <row r="34" spans="1:75" ht="6.75" customHeight="1">
      <c r="BH34" s="82"/>
      <c r="BP34" s="82"/>
      <c r="BR34" s="82"/>
      <c r="BT34" s="82"/>
      <c r="BU34" s="82"/>
      <c r="BV34" s="82"/>
      <c r="BW34" s="82"/>
    </row>
    <row r="35" spans="1:75" ht="17.25" customHeight="1">
      <c r="A35" s="132" t="s">
        <v>65</v>
      </c>
      <c r="B35" s="133"/>
      <c r="C35" s="133"/>
      <c r="D35" s="133"/>
      <c r="E35" s="133"/>
      <c r="F35" s="134"/>
      <c r="G35" s="21" t="s">
        <v>18</v>
      </c>
      <c r="H35" s="129"/>
      <c r="I35" s="129"/>
      <c r="J35" s="129"/>
      <c r="K35" s="129"/>
      <c r="L35" s="129"/>
      <c r="M35" s="129"/>
      <c r="N35" s="129"/>
      <c r="O35" s="20" t="s">
        <v>14</v>
      </c>
      <c r="P35" s="129"/>
      <c r="Q35" s="129"/>
      <c r="R35" s="129"/>
      <c r="S35" s="129"/>
      <c r="T35" s="129"/>
      <c r="U35" s="129"/>
      <c r="V35" s="129"/>
      <c r="W35" s="19" t="s">
        <v>13</v>
      </c>
      <c r="X35" s="129"/>
      <c r="Y35" s="129"/>
      <c r="Z35" s="129"/>
      <c r="AA35" s="129"/>
      <c r="AB35" s="129"/>
      <c r="AC35" s="129"/>
      <c r="AD35" s="18" t="s">
        <v>12</v>
      </c>
      <c r="AE35" s="20" t="s">
        <v>16</v>
      </c>
      <c r="AF35" s="129"/>
      <c r="AG35" s="129"/>
      <c r="AH35" s="129"/>
      <c r="AI35" s="129"/>
      <c r="AJ35" s="129"/>
      <c r="AK35" s="129"/>
      <c r="AL35" s="129"/>
      <c r="AM35" s="20" t="s">
        <v>14</v>
      </c>
      <c r="AN35" s="129"/>
      <c r="AO35" s="129"/>
      <c r="AP35" s="129"/>
      <c r="AQ35" s="129"/>
      <c r="AR35" s="129"/>
      <c r="AS35" s="129"/>
      <c r="AT35" s="129"/>
      <c r="AU35" s="19" t="s">
        <v>13</v>
      </c>
      <c r="AV35" s="129"/>
      <c r="AW35" s="129"/>
      <c r="AX35" s="129"/>
      <c r="AY35" s="129"/>
      <c r="AZ35" s="129"/>
      <c r="BA35" s="129"/>
      <c r="BB35" s="18" t="s">
        <v>12</v>
      </c>
      <c r="BC35" s="339" t="s">
        <v>95</v>
      </c>
      <c r="BD35" s="139"/>
      <c r="BE35" s="130" t="s">
        <v>11</v>
      </c>
      <c r="BF35" s="130"/>
      <c r="BG35" s="130"/>
      <c r="BH35" s="130"/>
      <c r="BI35" s="130"/>
      <c r="BJ35" s="53"/>
      <c r="BK35" s="53"/>
      <c r="BL35" s="53"/>
      <c r="BM35" s="53"/>
      <c r="BN35" s="52"/>
    </row>
    <row r="36" spans="1:75" ht="17.25" customHeight="1">
      <c r="A36" s="135"/>
      <c r="B36" s="136"/>
      <c r="C36" s="136"/>
      <c r="D36" s="136"/>
      <c r="E36" s="136"/>
      <c r="F36" s="137"/>
      <c r="G36" s="17" t="s">
        <v>17</v>
      </c>
      <c r="H36" s="131"/>
      <c r="I36" s="131"/>
      <c r="J36" s="131"/>
      <c r="K36" s="131"/>
      <c r="L36" s="131"/>
      <c r="M36" s="131"/>
      <c r="N36" s="131"/>
      <c r="O36" s="16" t="s">
        <v>14</v>
      </c>
      <c r="P36" s="131"/>
      <c r="Q36" s="131"/>
      <c r="R36" s="131"/>
      <c r="S36" s="131"/>
      <c r="T36" s="131"/>
      <c r="U36" s="131"/>
      <c r="V36" s="131"/>
      <c r="W36" s="15" t="s">
        <v>13</v>
      </c>
      <c r="X36" s="131"/>
      <c r="Y36" s="131"/>
      <c r="Z36" s="131"/>
      <c r="AA36" s="131"/>
      <c r="AB36" s="131"/>
      <c r="AC36" s="131"/>
      <c r="AD36" s="14" t="s">
        <v>12</v>
      </c>
      <c r="AE36" s="16" t="s">
        <v>15</v>
      </c>
      <c r="AF36" s="131"/>
      <c r="AG36" s="131"/>
      <c r="AH36" s="131"/>
      <c r="AI36" s="131"/>
      <c r="AJ36" s="131"/>
      <c r="AK36" s="131"/>
      <c r="AL36" s="131"/>
      <c r="AM36" s="16" t="s">
        <v>14</v>
      </c>
      <c r="AN36" s="131"/>
      <c r="AO36" s="131"/>
      <c r="AP36" s="131"/>
      <c r="AQ36" s="131"/>
      <c r="AR36" s="131"/>
      <c r="AS36" s="131"/>
      <c r="AT36" s="131"/>
      <c r="AU36" s="15" t="s">
        <v>13</v>
      </c>
      <c r="AV36" s="131"/>
      <c r="AW36" s="131"/>
      <c r="AX36" s="131"/>
      <c r="AY36" s="131"/>
      <c r="AZ36" s="131"/>
      <c r="BA36" s="131"/>
      <c r="BB36" s="14" t="s">
        <v>12</v>
      </c>
      <c r="BC36" s="8" t="s">
        <v>46</v>
      </c>
      <c r="BD36" s="51"/>
      <c r="BE36" s="51"/>
      <c r="BF36" s="51"/>
      <c r="BG36" s="51"/>
      <c r="BH36" s="51"/>
      <c r="BI36" s="51"/>
      <c r="BJ36" s="51"/>
      <c r="BK36" s="51"/>
      <c r="BL36" s="51"/>
      <c r="BM36" s="51"/>
      <c r="BN36" s="50"/>
    </row>
    <row r="37" spans="1:75" ht="13.5" customHeight="1">
      <c r="P37" s="25"/>
      <c r="BC37" s="342" t="s">
        <v>61</v>
      </c>
      <c r="BD37" s="342"/>
      <c r="BE37" s="342"/>
      <c r="BF37" s="342"/>
      <c r="BG37" s="342"/>
      <c r="BH37" s="342"/>
      <c r="BI37" s="342"/>
      <c r="BJ37" s="342"/>
      <c r="BK37" s="342"/>
      <c r="BL37" s="342"/>
      <c r="BM37" s="342"/>
      <c r="BN37" s="342"/>
    </row>
    <row r="38" spans="1:75" ht="6.75" customHeight="1">
      <c r="P38" s="25"/>
      <c r="BH38" s="82"/>
    </row>
    <row r="39" spans="1:75" ht="12.75" customHeight="1">
      <c r="A39" s="475" t="s">
        <v>68</v>
      </c>
      <c r="B39" s="475"/>
      <c r="C39" s="475"/>
      <c r="D39" s="475"/>
      <c r="E39" s="475"/>
      <c r="F39" s="475" t="s">
        <v>122</v>
      </c>
      <c r="G39" s="475"/>
      <c r="H39" s="475"/>
      <c r="I39" s="475"/>
      <c r="J39" s="475"/>
      <c r="K39" s="475"/>
      <c r="P39" s="25"/>
      <c r="BH39" s="82"/>
    </row>
    <row r="40" spans="1:75" ht="12.75" customHeight="1">
      <c r="A40" s="475"/>
      <c r="B40" s="475"/>
      <c r="C40" s="475"/>
      <c r="D40" s="475"/>
      <c r="E40" s="475"/>
      <c r="F40" s="475"/>
      <c r="G40" s="475"/>
      <c r="H40" s="475"/>
      <c r="I40" s="475"/>
      <c r="J40" s="475"/>
      <c r="K40" s="475"/>
      <c r="P40" s="25"/>
      <c r="BH40" s="82"/>
    </row>
    <row r="41" spans="1:75" ht="6.75" customHeight="1">
      <c r="P41" s="25"/>
      <c r="BH41" s="82"/>
    </row>
    <row r="42" spans="1:75" ht="18.75" customHeight="1">
      <c r="A42" s="132" t="s">
        <v>25</v>
      </c>
      <c r="B42" s="185"/>
      <c r="C42" s="185"/>
      <c r="D42" s="185"/>
      <c r="E42" s="185"/>
      <c r="F42" s="186"/>
      <c r="G42" s="467" t="s">
        <v>24</v>
      </c>
      <c r="H42" s="468"/>
      <c r="I42" s="468"/>
      <c r="J42" s="468"/>
      <c r="K42" s="468"/>
      <c r="L42" s="468"/>
      <c r="M42" s="468"/>
      <c r="N42" s="468"/>
      <c r="O42" s="348" t="s">
        <v>23</v>
      </c>
      <c r="P42" s="348"/>
      <c r="Q42" s="348"/>
      <c r="R42" s="348"/>
      <c r="S42" s="348"/>
      <c r="T42" s="348"/>
      <c r="U42" s="348"/>
      <c r="V42" s="348"/>
      <c r="W42" s="348"/>
      <c r="X42" s="348"/>
      <c r="Y42" s="348"/>
      <c r="Z42" s="348"/>
      <c r="AA42" s="348"/>
      <c r="AB42" s="348"/>
      <c r="AC42" s="348"/>
      <c r="AD42" s="348"/>
      <c r="AE42" s="348"/>
      <c r="AF42" s="348"/>
      <c r="AG42" s="349"/>
      <c r="BH42" s="82"/>
    </row>
    <row r="43" spans="1:75" ht="18.75" customHeight="1">
      <c r="A43" s="343"/>
      <c r="B43" s="344"/>
      <c r="C43" s="344"/>
      <c r="D43" s="344"/>
      <c r="E43" s="344"/>
      <c r="F43" s="345"/>
      <c r="G43" s="465" t="str">
        <f>IF(OR(O42="基盤研究費",O42="自己負担（精算なし）",O42=""),"",IF(O42="大学運営経費","予算名称",IF(COUNTIF(O42,"*科研費*"),"種目",IF(O42="先方負担","負担種別（全額/一部）",IF(O42="その他","詳細","資金(ﾌﾟﾛｼﾞｪｸﾄ)名称")))))</f>
        <v>資金(ﾌﾟﾛｼﾞｪｸﾄ)名称</v>
      </c>
      <c r="H43" s="466"/>
      <c r="I43" s="466"/>
      <c r="J43" s="466"/>
      <c r="K43" s="466"/>
      <c r="L43" s="466"/>
      <c r="M43" s="466"/>
      <c r="N43" s="466"/>
      <c r="O43" s="352"/>
      <c r="P43" s="352"/>
      <c r="Q43" s="352"/>
      <c r="R43" s="352"/>
      <c r="S43" s="352"/>
      <c r="T43" s="352"/>
      <c r="U43" s="352"/>
      <c r="V43" s="352"/>
      <c r="W43" s="352"/>
      <c r="X43" s="352"/>
      <c r="Y43" s="352"/>
      <c r="Z43" s="352"/>
      <c r="AA43" s="352"/>
      <c r="AB43" s="352"/>
      <c r="AC43" s="352"/>
      <c r="AD43" s="352"/>
      <c r="AE43" s="352"/>
      <c r="AF43" s="352"/>
      <c r="AG43" s="353"/>
      <c r="BH43" s="82"/>
    </row>
    <row r="44" spans="1:75" ht="17.25" customHeight="1">
      <c r="A44" s="343"/>
      <c r="B44" s="344"/>
      <c r="C44" s="344"/>
      <c r="D44" s="344"/>
      <c r="E44" s="344"/>
      <c r="F44" s="345"/>
      <c r="G44" s="465" t="str">
        <f>+IF(OR(O42="基盤研究費",O42="大学運営経費",O42="自己負担（精算なし）",O42="その他",O42=""),"",IF(O42="先方負担","先方負担先名",IF(COUNTIF(O42,"*科研費*"),"研究代表者名","経費区分（直接/間接）")))</f>
        <v>経費区分（直接/間接）</v>
      </c>
      <c r="H44" s="466"/>
      <c r="I44" s="466"/>
      <c r="J44" s="466"/>
      <c r="K44" s="466"/>
      <c r="L44" s="466"/>
      <c r="M44" s="466"/>
      <c r="N44" s="466"/>
      <c r="O44" s="352"/>
      <c r="P44" s="352"/>
      <c r="Q44" s="352"/>
      <c r="R44" s="352"/>
      <c r="S44" s="352"/>
      <c r="T44" s="352"/>
      <c r="U44" s="352"/>
      <c r="V44" s="352"/>
      <c r="W44" s="352"/>
      <c r="X44" s="352"/>
      <c r="Y44" s="352"/>
      <c r="Z44" s="352"/>
      <c r="AA44" s="352"/>
      <c r="AB44" s="352"/>
      <c r="AC44" s="352"/>
      <c r="AD44" s="352"/>
      <c r="AE44" s="352"/>
      <c r="AF44" s="352"/>
      <c r="AG44" s="353"/>
      <c r="BH44" s="82"/>
    </row>
    <row r="45" spans="1:75" ht="17.25" customHeight="1">
      <c r="A45" s="343"/>
      <c r="B45" s="344"/>
      <c r="C45" s="344"/>
      <c r="D45" s="344"/>
      <c r="E45" s="344"/>
      <c r="F45" s="345"/>
      <c r="G45" s="465" t="str">
        <f>+IF(OR(O42="基盤研究費",O42="大学運営経費",O42="自己負担（精算なし）",O42="その他",O42=""),"",IF(O42="先方負担","先方負担内容",IF(COUNTIF(O42,"*科研費*"),"所管（ﾌﾟﾛｼﾞｪｸﾄ）名称","ﾌﾟﾛｼﾞｪｸﾄNo.(ｺｰﾄﾞ)")))</f>
        <v>ﾌﾟﾛｼﾞｪｸﾄNo.(ｺｰﾄﾞ)</v>
      </c>
      <c r="H45" s="466"/>
      <c r="I45" s="466"/>
      <c r="J45" s="466"/>
      <c r="K45" s="466"/>
      <c r="L45" s="466"/>
      <c r="M45" s="466"/>
      <c r="N45" s="466"/>
      <c r="O45" s="352"/>
      <c r="P45" s="352"/>
      <c r="Q45" s="352"/>
      <c r="R45" s="352"/>
      <c r="S45" s="352"/>
      <c r="T45" s="352"/>
      <c r="U45" s="352"/>
      <c r="V45" s="352"/>
      <c r="W45" s="352"/>
      <c r="X45" s="352"/>
      <c r="Y45" s="352"/>
      <c r="Z45" s="352"/>
      <c r="AA45" s="352"/>
      <c r="AB45" s="352"/>
      <c r="AC45" s="352"/>
      <c r="AD45" s="352"/>
      <c r="AE45" s="352"/>
      <c r="AF45" s="352"/>
      <c r="AG45" s="353"/>
      <c r="BH45" s="82"/>
    </row>
    <row r="46" spans="1:75" ht="17.25" customHeight="1">
      <c r="A46" s="343"/>
      <c r="B46" s="344"/>
      <c r="C46" s="344"/>
      <c r="D46" s="344"/>
      <c r="E46" s="344"/>
      <c r="F46" s="345"/>
      <c r="G46" s="465" t="str">
        <f>IF(COUNTIF(O42,"*科研費*"),"ﾌﾟﾛｼﾞｪｸﾄNo.(ｺｰﾄﾞ)","")</f>
        <v/>
      </c>
      <c r="H46" s="466"/>
      <c r="I46" s="466"/>
      <c r="J46" s="466"/>
      <c r="K46" s="466"/>
      <c r="L46" s="466"/>
      <c r="M46" s="466"/>
      <c r="N46" s="466"/>
      <c r="O46" s="352"/>
      <c r="P46" s="352"/>
      <c r="Q46" s="352"/>
      <c r="R46" s="352"/>
      <c r="S46" s="352"/>
      <c r="T46" s="352"/>
      <c r="U46" s="352"/>
      <c r="V46" s="352"/>
      <c r="W46" s="352"/>
      <c r="X46" s="352"/>
      <c r="Y46" s="352"/>
      <c r="Z46" s="352"/>
      <c r="AA46" s="352"/>
      <c r="AB46" s="352"/>
      <c r="AC46" s="352"/>
      <c r="AD46" s="352"/>
      <c r="AE46" s="352"/>
      <c r="AF46" s="352"/>
      <c r="AG46" s="353"/>
      <c r="BH46" s="82"/>
    </row>
    <row r="47" spans="1:75" ht="17.25" customHeight="1">
      <c r="A47" s="187"/>
      <c r="B47" s="188"/>
      <c r="C47" s="188"/>
      <c r="D47" s="188"/>
      <c r="E47" s="188"/>
      <c r="F47" s="189"/>
      <c r="G47" s="354" t="s">
        <v>22</v>
      </c>
      <c r="H47" s="355"/>
      <c r="I47" s="355"/>
      <c r="J47" s="355"/>
      <c r="K47" s="355"/>
      <c r="L47" s="355"/>
      <c r="M47" s="355"/>
      <c r="N47" s="355"/>
      <c r="O47" s="356"/>
      <c r="P47" s="356"/>
      <c r="Q47" s="356"/>
      <c r="R47" s="356"/>
      <c r="S47" s="356"/>
      <c r="T47" s="356"/>
      <c r="U47" s="356"/>
      <c r="V47" s="356"/>
      <c r="W47" s="356"/>
      <c r="X47" s="356"/>
      <c r="Y47" s="356"/>
      <c r="Z47" s="356"/>
      <c r="AA47" s="356"/>
      <c r="AB47" s="356"/>
      <c r="AC47" s="356"/>
      <c r="AD47" s="356"/>
      <c r="AE47" s="356"/>
      <c r="AF47" s="356"/>
      <c r="AG47" s="357"/>
      <c r="BH47" s="82"/>
    </row>
    <row r="48" spans="1:75" ht="17.25" customHeight="1">
      <c r="A48" s="132" t="s">
        <v>21</v>
      </c>
      <c r="B48" s="185"/>
      <c r="C48" s="185"/>
      <c r="D48" s="185"/>
      <c r="E48" s="185"/>
      <c r="F48" s="186"/>
      <c r="G48" s="358" t="s">
        <v>95</v>
      </c>
      <c r="H48" s="359"/>
      <c r="I48" s="278" t="s">
        <v>29</v>
      </c>
      <c r="J48" s="278"/>
      <c r="K48" s="278"/>
      <c r="L48" s="278"/>
      <c r="M48" s="278"/>
      <c r="N48" s="278"/>
      <c r="O48" s="359" t="s">
        <v>95</v>
      </c>
      <c r="P48" s="359"/>
      <c r="Q48" s="278" t="s">
        <v>28</v>
      </c>
      <c r="R48" s="278"/>
      <c r="S48" s="278"/>
      <c r="T48" s="278"/>
      <c r="U48" s="278"/>
      <c r="V48" s="278"/>
      <c r="W48" s="78"/>
      <c r="X48" s="78"/>
      <c r="Y48" s="78"/>
      <c r="Z48" s="78"/>
      <c r="AA48" s="78"/>
      <c r="AB48" s="78"/>
      <c r="AC48" s="78"/>
      <c r="AD48" s="78"/>
      <c r="AE48" s="78"/>
      <c r="AF48" s="77"/>
      <c r="AG48" s="83"/>
      <c r="BH48" s="82"/>
    </row>
    <row r="49" spans="1:75" ht="17.25" customHeight="1">
      <c r="A49" s="343"/>
      <c r="B49" s="344"/>
      <c r="C49" s="344"/>
      <c r="D49" s="344"/>
      <c r="E49" s="344"/>
      <c r="F49" s="345"/>
      <c r="G49" s="362" t="s">
        <v>95</v>
      </c>
      <c r="H49" s="363"/>
      <c r="I49" s="340" t="s">
        <v>36</v>
      </c>
      <c r="J49" s="340"/>
      <c r="K49" s="340"/>
      <c r="L49" s="340"/>
      <c r="M49" s="340"/>
      <c r="N49" s="340"/>
      <c r="O49" s="363" t="s">
        <v>95</v>
      </c>
      <c r="P49" s="363"/>
      <c r="Q49" s="340" t="s">
        <v>35</v>
      </c>
      <c r="R49" s="340"/>
      <c r="S49" s="340"/>
      <c r="T49" s="340"/>
      <c r="U49" s="340"/>
      <c r="V49" s="340"/>
      <c r="W49" s="363" t="s">
        <v>95</v>
      </c>
      <c r="X49" s="363"/>
      <c r="Y49" s="80" t="s">
        <v>34</v>
      </c>
      <c r="Z49" s="80"/>
      <c r="AA49" s="80"/>
      <c r="AB49" s="80"/>
      <c r="AC49" s="80"/>
      <c r="AD49" s="80"/>
      <c r="AE49" s="80"/>
      <c r="AF49" s="47"/>
      <c r="AG49" s="46"/>
      <c r="BH49" s="82"/>
    </row>
    <row r="50" spans="1:75" ht="17.25" customHeight="1">
      <c r="A50" s="187"/>
      <c r="B50" s="188"/>
      <c r="C50" s="188"/>
      <c r="D50" s="188"/>
      <c r="E50" s="188"/>
      <c r="F50" s="189"/>
      <c r="G50" s="360" t="s">
        <v>95</v>
      </c>
      <c r="H50" s="361"/>
      <c r="I50" s="364" t="s">
        <v>7</v>
      </c>
      <c r="J50" s="364"/>
      <c r="K50" s="364"/>
      <c r="L50" s="364"/>
      <c r="M50" s="364"/>
      <c r="N50" s="364"/>
      <c r="O50" s="361" t="s">
        <v>95</v>
      </c>
      <c r="P50" s="361"/>
      <c r="Q50" s="364" t="s">
        <v>33</v>
      </c>
      <c r="R50" s="364"/>
      <c r="S50" s="364"/>
      <c r="T50" s="364"/>
      <c r="U50" s="364"/>
      <c r="V50" s="364"/>
      <c r="W50" s="361" t="s">
        <v>95</v>
      </c>
      <c r="X50" s="361"/>
      <c r="Y50" s="81" t="s">
        <v>32</v>
      </c>
      <c r="Z50" s="81"/>
      <c r="AA50" s="81"/>
      <c r="AB50" s="81"/>
      <c r="AC50" s="81"/>
      <c r="AD50" s="81"/>
      <c r="AE50" s="81"/>
      <c r="AF50" s="81"/>
      <c r="AG50" s="84"/>
      <c r="BH50" s="82"/>
    </row>
    <row r="51" spans="1:75" ht="17.25" customHeight="1">
      <c r="A51" s="132" t="s">
        <v>44</v>
      </c>
      <c r="B51" s="185"/>
      <c r="C51" s="185"/>
      <c r="D51" s="185"/>
      <c r="E51" s="185"/>
      <c r="F51" s="186"/>
      <c r="G51" s="358" t="s">
        <v>95</v>
      </c>
      <c r="H51" s="359"/>
      <c r="I51" s="278" t="s">
        <v>94</v>
      </c>
      <c r="J51" s="278"/>
      <c r="K51" s="278"/>
      <c r="L51" s="278"/>
      <c r="M51" s="278"/>
      <c r="N51" s="278"/>
      <c r="O51" s="278"/>
      <c r="P51" s="278"/>
      <c r="Q51" s="278"/>
      <c r="R51" s="278"/>
      <c r="S51" s="278"/>
      <c r="T51" s="278"/>
      <c r="U51" s="278"/>
      <c r="V51" s="278"/>
      <c r="W51" s="278"/>
      <c r="X51" s="278"/>
      <c r="Y51" s="278"/>
      <c r="Z51" s="278"/>
      <c r="AA51" s="278"/>
      <c r="AB51" s="278"/>
      <c r="AC51" s="278"/>
      <c r="AD51" s="278"/>
      <c r="AE51" s="278"/>
      <c r="AF51" s="278"/>
      <c r="AG51" s="279"/>
      <c r="BH51" s="82"/>
    </row>
    <row r="52" spans="1:75" ht="17.25" customHeight="1">
      <c r="A52" s="187"/>
      <c r="B52" s="188"/>
      <c r="C52" s="188"/>
      <c r="D52" s="188"/>
      <c r="E52" s="188"/>
      <c r="F52" s="189"/>
      <c r="G52" s="360"/>
      <c r="H52" s="361"/>
      <c r="I52" s="364"/>
      <c r="J52" s="364"/>
      <c r="K52" s="364"/>
      <c r="L52" s="364"/>
      <c r="M52" s="364"/>
      <c r="N52" s="364"/>
      <c r="O52" s="364"/>
      <c r="P52" s="364"/>
      <c r="Q52" s="364"/>
      <c r="R52" s="364"/>
      <c r="S52" s="364"/>
      <c r="T52" s="364"/>
      <c r="U52" s="364"/>
      <c r="V52" s="364"/>
      <c r="W52" s="364"/>
      <c r="X52" s="364"/>
      <c r="Y52" s="364"/>
      <c r="Z52" s="364"/>
      <c r="AA52" s="364"/>
      <c r="AB52" s="364"/>
      <c r="AC52" s="364"/>
      <c r="AD52" s="364"/>
      <c r="AE52" s="364"/>
      <c r="AF52" s="364"/>
      <c r="AG52" s="474"/>
      <c r="BH52" s="82"/>
    </row>
    <row r="53" spans="1:75" ht="17.25" customHeight="1">
      <c r="A53" s="132" t="s">
        <v>70</v>
      </c>
      <c r="B53" s="185"/>
      <c r="C53" s="185"/>
      <c r="D53" s="185"/>
      <c r="E53" s="185"/>
      <c r="F53" s="186"/>
      <c r="G53" s="358" t="s">
        <v>95</v>
      </c>
      <c r="H53" s="359"/>
      <c r="I53" s="278" t="s">
        <v>96</v>
      </c>
      <c r="J53" s="278"/>
      <c r="K53" s="278"/>
      <c r="L53" s="278"/>
      <c r="M53" s="278"/>
      <c r="N53" s="278"/>
      <c r="O53" s="278"/>
      <c r="P53" s="278"/>
      <c r="Q53" s="278"/>
      <c r="R53" s="278"/>
      <c r="S53" s="278"/>
      <c r="T53" s="278"/>
      <c r="U53" s="278"/>
      <c r="V53" s="278"/>
      <c r="W53" s="278"/>
      <c r="X53" s="278"/>
      <c r="Y53" s="278"/>
      <c r="Z53" s="278"/>
      <c r="AA53" s="278"/>
      <c r="AB53" s="278"/>
      <c r="AC53" s="278"/>
      <c r="AD53" s="278"/>
      <c r="AE53" s="278"/>
      <c r="AF53" s="278"/>
      <c r="AG53" s="279"/>
      <c r="BH53" s="82"/>
    </row>
    <row r="54" spans="1:75" ht="17.25" customHeight="1">
      <c r="A54" s="187"/>
      <c r="B54" s="188"/>
      <c r="C54" s="188"/>
      <c r="D54" s="188"/>
      <c r="E54" s="188"/>
      <c r="F54" s="189"/>
      <c r="G54" s="360"/>
      <c r="H54" s="361"/>
      <c r="I54" s="364"/>
      <c r="J54" s="364"/>
      <c r="K54" s="364"/>
      <c r="L54" s="364"/>
      <c r="M54" s="364"/>
      <c r="N54" s="364"/>
      <c r="O54" s="364"/>
      <c r="P54" s="364"/>
      <c r="Q54" s="364"/>
      <c r="R54" s="364"/>
      <c r="S54" s="364"/>
      <c r="T54" s="364"/>
      <c r="U54" s="364"/>
      <c r="V54" s="364"/>
      <c r="W54" s="364"/>
      <c r="X54" s="364"/>
      <c r="Y54" s="364"/>
      <c r="Z54" s="364"/>
      <c r="AA54" s="364"/>
      <c r="AB54" s="364"/>
      <c r="AC54" s="364"/>
      <c r="AD54" s="364"/>
      <c r="AE54" s="364"/>
      <c r="AF54" s="364"/>
      <c r="AG54" s="474"/>
      <c r="BH54" s="82"/>
    </row>
    <row r="55" spans="1:75" ht="17.25" customHeight="1">
      <c r="A55" s="132" t="s">
        <v>132</v>
      </c>
      <c r="B55" s="185"/>
      <c r="C55" s="185"/>
      <c r="D55" s="185"/>
      <c r="E55" s="185"/>
      <c r="F55" s="186"/>
      <c r="G55" s="358" t="s">
        <v>95</v>
      </c>
      <c r="H55" s="359"/>
      <c r="I55" s="278" t="s">
        <v>133</v>
      </c>
      <c r="J55" s="278"/>
      <c r="K55" s="278"/>
      <c r="L55" s="278"/>
      <c r="M55" s="278"/>
      <c r="N55" s="278"/>
      <c r="O55" s="278"/>
      <c r="P55" s="278"/>
      <c r="Q55" s="278"/>
      <c r="R55" s="278"/>
      <c r="S55" s="278"/>
      <c r="T55" s="278"/>
      <c r="U55" s="278"/>
      <c r="V55" s="278"/>
      <c r="W55" s="278"/>
      <c r="X55" s="278"/>
      <c r="Y55" s="278"/>
      <c r="Z55" s="278"/>
      <c r="AA55" s="278"/>
      <c r="AB55" s="278"/>
      <c r="AC55" s="278"/>
      <c r="AD55" s="278"/>
      <c r="AE55" s="278"/>
      <c r="AF55" s="278"/>
      <c r="AG55" s="279"/>
      <c r="BH55" s="82"/>
      <c r="BP55" s="82"/>
      <c r="BR55" s="82"/>
      <c r="BT55" s="82"/>
      <c r="BU55" s="82"/>
      <c r="BV55" s="82"/>
      <c r="BW55" s="82"/>
    </row>
    <row r="56" spans="1:75" ht="17.25" customHeight="1">
      <c r="A56" s="187"/>
      <c r="B56" s="188"/>
      <c r="C56" s="188"/>
      <c r="D56" s="188"/>
      <c r="E56" s="188"/>
      <c r="F56" s="189"/>
      <c r="G56" s="524" t="s">
        <v>134</v>
      </c>
      <c r="H56" s="525"/>
      <c r="I56" s="525"/>
      <c r="J56" s="525"/>
      <c r="K56" s="525"/>
      <c r="L56" s="525"/>
      <c r="M56" s="525"/>
      <c r="N56" s="525"/>
      <c r="O56" s="525"/>
      <c r="P56" s="525"/>
      <c r="Q56" s="525"/>
      <c r="R56" s="525"/>
      <c r="S56" s="525"/>
      <c r="T56" s="525"/>
      <c r="U56" s="525"/>
      <c r="V56" s="525"/>
      <c r="W56" s="525"/>
      <c r="X56" s="525"/>
      <c r="Y56" s="525"/>
      <c r="Z56" s="525"/>
      <c r="AA56" s="525"/>
      <c r="AB56" s="525"/>
      <c r="AC56" s="525"/>
      <c r="AD56" s="525"/>
      <c r="AE56" s="525"/>
      <c r="AF56" s="525"/>
      <c r="AG56" s="526"/>
      <c r="BH56" s="82"/>
      <c r="BP56" s="82"/>
      <c r="BR56" s="82"/>
      <c r="BT56" s="82"/>
      <c r="BU56" s="82"/>
      <c r="BV56" s="82"/>
      <c r="BW56" s="82"/>
    </row>
    <row r="57" spans="1:75" ht="17.25" customHeight="1">
      <c r="A57" s="326" t="s">
        <v>56</v>
      </c>
      <c r="B57" s="326"/>
      <c r="C57" s="326"/>
      <c r="D57" s="326"/>
      <c r="E57" s="326"/>
      <c r="F57" s="326"/>
      <c r="G57" s="253"/>
      <c r="H57" s="253"/>
      <c r="I57" s="253"/>
      <c r="J57" s="253"/>
      <c r="K57" s="253"/>
      <c r="L57" s="253"/>
      <c r="M57" s="253"/>
      <c r="N57" s="253"/>
      <c r="O57" s="253"/>
      <c r="P57" s="253"/>
      <c r="Q57" s="253"/>
      <c r="R57" s="253"/>
      <c r="S57" s="253"/>
      <c r="T57" s="253"/>
      <c r="U57" s="253"/>
      <c r="V57" s="253"/>
      <c r="W57" s="253"/>
      <c r="X57" s="253"/>
      <c r="Y57" s="253"/>
      <c r="Z57" s="253"/>
      <c r="AA57" s="253"/>
      <c r="AB57" s="253"/>
      <c r="AC57" s="253"/>
      <c r="AD57" s="253"/>
      <c r="AE57" s="253"/>
      <c r="AF57" s="253"/>
      <c r="AG57" s="253"/>
      <c r="BH57" s="82"/>
      <c r="BP57" s="82"/>
      <c r="BR57" s="82"/>
      <c r="BT57" s="82"/>
      <c r="BU57" s="82"/>
      <c r="BV57" s="82"/>
      <c r="BW57" s="82"/>
    </row>
    <row r="58" spans="1:75" ht="17.25" customHeight="1">
      <c r="A58" s="326"/>
      <c r="B58" s="326"/>
      <c r="C58" s="326"/>
      <c r="D58" s="326"/>
      <c r="E58" s="326"/>
      <c r="F58" s="326"/>
      <c r="G58" s="253"/>
      <c r="H58" s="253"/>
      <c r="I58" s="253"/>
      <c r="J58" s="253"/>
      <c r="K58" s="253"/>
      <c r="L58" s="253"/>
      <c r="M58" s="253"/>
      <c r="N58" s="253"/>
      <c r="O58" s="253"/>
      <c r="P58" s="253"/>
      <c r="Q58" s="253"/>
      <c r="R58" s="253"/>
      <c r="S58" s="253"/>
      <c r="T58" s="253"/>
      <c r="U58" s="253"/>
      <c r="V58" s="253"/>
      <c r="W58" s="253"/>
      <c r="X58" s="253"/>
      <c r="Y58" s="253"/>
      <c r="Z58" s="253"/>
      <c r="AA58" s="253"/>
      <c r="AB58" s="253"/>
      <c r="AC58" s="253"/>
      <c r="AD58" s="253"/>
      <c r="AE58" s="253"/>
      <c r="AF58" s="253"/>
      <c r="AG58" s="253"/>
      <c r="BH58" s="82"/>
      <c r="BP58" s="82"/>
      <c r="BR58" s="82"/>
      <c r="BT58" s="82"/>
      <c r="BU58" s="82"/>
      <c r="BV58" s="82"/>
      <c r="BW58" s="82"/>
    </row>
    <row r="59" spans="1:75" ht="17.25" customHeight="1">
      <c r="A59" s="326"/>
      <c r="B59" s="326"/>
      <c r="C59" s="326"/>
      <c r="D59" s="326"/>
      <c r="E59" s="326"/>
      <c r="F59" s="326"/>
      <c r="G59" s="253"/>
      <c r="H59" s="253"/>
      <c r="I59" s="253"/>
      <c r="J59" s="253"/>
      <c r="K59" s="253"/>
      <c r="L59" s="253"/>
      <c r="M59" s="253"/>
      <c r="N59" s="253"/>
      <c r="O59" s="253"/>
      <c r="P59" s="253"/>
      <c r="Q59" s="253"/>
      <c r="R59" s="253"/>
      <c r="S59" s="253"/>
      <c r="T59" s="253"/>
      <c r="U59" s="253"/>
      <c r="V59" s="253"/>
      <c r="W59" s="253"/>
      <c r="X59" s="253"/>
      <c r="Y59" s="253"/>
      <c r="Z59" s="253"/>
      <c r="AA59" s="253"/>
      <c r="AB59" s="253"/>
      <c r="AC59" s="253"/>
      <c r="AD59" s="253"/>
      <c r="AE59" s="253"/>
      <c r="AF59" s="253"/>
      <c r="AG59" s="253"/>
      <c r="BH59" s="82"/>
      <c r="BP59" s="82"/>
      <c r="BR59" s="82"/>
      <c r="BT59" s="82"/>
      <c r="BU59" s="82"/>
      <c r="BV59" s="82"/>
      <c r="BW59" s="82"/>
    </row>
    <row r="60" spans="1:75" ht="17.25" customHeight="1">
      <c r="A60" s="326"/>
      <c r="B60" s="326"/>
      <c r="C60" s="326"/>
      <c r="D60" s="326"/>
      <c r="E60" s="326"/>
      <c r="F60" s="326"/>
      <c r="G60" s="253"/>
      <c r="H60" s="253"/>
      <c r="I60" s="253"/>
      <c r="J60" s="253"/>
      <c r="K60" s="253"/>
      <c r="L60" s="253"/>
      <c r="M60" s="253"/>
      <c r="N60" s="253"/>
      <c r="O60" s="253"/>
      <c r="P60" s="253"/>
      <c r="Q60" s="253"/>
      <c r="R60" s="253"/>
      <c r="S60" s="253"/>
      <c r="T60" s="253"/>
      <c r="U60" s="253"/>
      <c r="V60" s="253"/>
      <c r="W60" s="253"/>
      <c r="X60" s="253"/>
      <c r="Y60" s="253"/>
      <c r="Z60" s="253"/>
      <c r="AA60" s="253"/>
      <c r="AB60" s="253"/>
      <c r="AC60" s="253"/>
      <c r="AD60" s="253"/>
      <c r="AE60" s="253"/>
      <c r="AF60" s="253"/>
      <c r="AG60" s="253"/>
      <c r="AH60" s="59"/>
      <c r="AI60" s="82"/>
      <c r="AJ60" s="59"/>
      <c r="AK60" s="59"/>
      <c r="AL60" s="59"/>
      <c r="AM60" s="59"/>
      <c r="AN60" s="59"/>
      <c r="AO60" s="59"/>
      <c r="AP60" s="59"/>
      <c r="AQ60" s="59"/>
      <c r="AR60" s="59"/>
      <c r="AS60" s="59"/>
      <c r="AT60" s="59"/>
      <c r="AU60" s="59"/>
      <c r="AV60" s="59"/>
      <c r="AW60" s="59"/>
      <c r="AX60" s="59"/>
      <c r="AY60" s="59"/>
      <c r="AZ60" s="59"/>
      <c r="BA60" s="59"/>
      <c r="BB60" s="59"/>
      <c r="BC60" s="59"/>
      <c r="BD60" s="59"/>
      <c r="BE60" s="59"/>
      <c r="BF60" s="59"/>
      <c r="BG60" s="59"/>
      <c r="BH60" s="59"/>
      <c r="BI60" s="59"/>
      <c r="BJ60" s="59"/>
      <c r="BK60" s="59"/>
      <c r="BL60" s="59"/>
      <c r="BM60" s="59"/>
      <c r="BN60" s="59"/>
      <c r="BP60" s="82"/>
      <c r="BR60" s="82"/>
      <c r="BT60" s="82"/>
      <c r="BU60" s="82"/>
      <c r="BV60" s="82"/>
      <c r="BW60" s="82"/>
    </row>
    <row r="61" spans="1:75" ht="18" customHeight="1">
      <c r="AH61" s="25"/>
      <c r="BH61" s="82"/>
      <c r="BP61" s="82"/>
      <c r="BR61" s="82"/>
      <c r="BT61" s="82"/>
      <c r="BU61" s="82"/>
      <c r="BV61" s="82"/>
      <c r="BW61" s="82"/>
    </row>
    <row r="62" spans="1:75" ht="17.25" customHeight="1">
      <c r="A62" s="24" t="s">
        <v>59</v>
      </c>
      <c r="AT62" s="25"/>
      <c r="BA62" s="25"/>
      <c r="BJ62" s="25"/>
    </row>
    <row r="63" spans="1:75" ht="4.95" customHeight="1">
      <c r="AT63" s="25"/>
      <c r="BA63" s="25"/>
      <c r="BJ63" s="25"/>
    </row>
    <row r="64" spans="1:75" ht="17.25" customHeight="1">
      <c r="A64" s="41" t="s">
        <v>43</v>
      </c>
      <c r="AT64" s="25"/>
      <c r="BA64" s="25"/>
      <c r="BJ64" s="25"/>
    </row>
    <row r="65" spans="1:75" ht="17.25" customHeight="1">
      <c r="A65" s="41" t="s">
        <v>54</v>
      </c>
      <c r="BH65" s="82"/>
      <c r="BP65" s="82"/>
      <c r="BR65" s="82"/>
      <c r="BT65" s="82"/>
      <c r="BU65" s="82"/>
      <c r="BV65" s="82"/>
      <c r="BW65" s="82"/>
    </row>
    <row r="66" spans="1:75" ht="17.25" customHeight="1">
      <c r="A66" s="41" t="s">
        <v>42</v>
      </c>
      <c r="BH66" s="82"/>
      <c r="BP66" s="82"/>
      <c r="BR66" s="82"/>
      <c r="BT66" s="82"/>
      <c r="BU66" s="82"/>
      <c r="BV66" s="82"/>
      <c r="BW66" s="82"/>
    </row>
    <row r="67" spans="1:75" ht="17.25" customHeight="1">
      <c r="A67" s="24" t="s">
        <v>135</v>
      </c>
      <c r="I67" s="25"/>
      <c r="J67" s="25"/>
      <c r="K67" s="25"/>
      <c r="L67" s="25"/>
      <c r="M67" s="25"/>
      <c r="N67" s="25"/>
      <c r="O67" s="25"/>
      <c r="P67" s="25"/>
      <c r="Q67" s="25"/>
      <c r="R67" s="25"/>
      <c r="AJ67" s="25"/>
      <c r="AK67" s="25"/>
      <c r="AL67" s="25"/>
      <c r="AM67" s="25"/>
      <c r="AN67" s="25"/>
    </row>
    <row r="68" spans="1:75" ht="18.75" customHeight="1">
      <c r="A68" s="24" t="s">
        <v>71</v>
      </c>
      <c r="L68" s="25"/>
      <c r="M68" s="25"/>
      <c r="N68" s="25"/>
      <c r="O68" s="25"/>
      <c r="P68" s="25"/>
      <c r="Q68" s="25"/>
      <c r="AL68" s="25"/>
      <c r="AM68" s="25"/>
    </row>
    <row r="69" spans="1:75" ht="17.25" customHeight="1">
      <c r="A69" s="24" t="s">
        <v>136</v>
      </c>
      <c r="BP69" s="82"/>
      <c r="BR69" s="82"/>
      <c r="BT69" s="82"/>
      <c r="BU69" s="82"/>
      <c r="BV69" s="82"/>
      <c r="BW69" s="82"/>
    </row>
    <row r="70" spans="1:75" ht="12.75" customHeight="1">
      <c r="BG70" s="99" t="s">
        <v>62</v>
      </c>
      <c r="BH70" s="99"/>
      <c r="BI70" s="99"/>
      <c r="BJ70" s="99"/>
      <c r="BK70" s="99"/>
      <c r="BL70" s="99"/>
      <c r="BM70" s="99"/>
      <c r="BN70" s="99"/>
    </row>
  </sheetData>
  <mergeCells count="203">
    <mergeCell ref="BG70:BN70"/>
    <mergeCell ref="A55:F56"/>
    <mergeCell ref="G55:H55"/>
    <mergeCell ref="I55:AG55"/>
    <mergeCell ref="G56:AG56"/>
    <mergeCell ref="A57:F60"/>
    <mergeCell ref="G57:AG60"/>
    <mergeCell ref="A51:F52"/>
    <mergeCell ref="G51:H52"/>
    <mergeCell ref="I51:AG52"/>
    <mergeCell ref="A53:F54"/>
    <mergeCell ref="G53:H54"/>
    <mergeCell ref="I53:AG54"/>
    <mergeCell ref="W49:X49"/>
    <mergeCell ref="G50:H50"/>
    <mergeCell ref="I50:N50"/>
    <mergeCell ref="O50:P50"/>
    <mergeCell ref="Q50:V50"/>
    <mergeCell ref="W50:X50"/>
    <mergeCell ref="A48:F50"/>
    <mergeCell ref="G48:H48"/>
    <mergeCell ref="I48:N48"/>
    <mergeCell ref="O48:P48"/>
    <mergeCell ref="Q48:V48"/>
    <mergeCell ref="G49:H49"/>
    <mergeCell ref="I49:N49"/>
    <mergeCell ref="O49:P49"/>
    <mergeCell ref="Q49:V49"/>
    <mergeCell ref="G45:N45"/>
    <mergeCell ref="O45:AG45"/>
    <mergeCell ref="G46:N46"/>
    <mergeCell ref="O46:AG46"/>
    <mergeCell ref="G47:N47"/>
    <mergeCell ref="O47:AG47"/>
    <mergeCell ref="BC37:BN37"/>
    <mergeCell ref="A39:E40"/>
    <mergeCell ref="F39:K40"/>
    <mergeCell ref="A42:F47"/>
    <mergeCell ref="G42:N42"/>
    <mergeCell ref="O42:AG42"/>
    <mergeCell ref="G43:N43"/>
    <mergeCell ref="O43:AG43"/>
    <mergeCell ref="G44:N44"/>
    <mergeCell ref="O44:AG44"/>
    <mergeCell ref="A35:F36"/>
    <mergeCell ref="H35:N35"/>
    <mergeCell ref="P35:V35"/>
    <mergeCell ref="X35:AC35"/>
    <mergeCell ref="AF35:AL35"/>
    <mergeCell ref="AN35:AT35"/>
    <mergeCell ref="AV35:BA35"/>
    <mergeCell ref="BC35:BD35"/>
    <mergeCell ref="BE35:BI35"/>
    <mergeCell ref="H36:N36"/>
    <mergeCell ref="P36:V36"/>
    <mergeCell ref="X36:AC36"/>
    <mergeCell ref="AF36:AL36"/>
    <mergeCell ref="AN36:AT36"/>
    <mergeCell ref="AV36:BA36"/>
    <mergeCell ref="BA31:BN31"/>
    <mergeCell ref="B32:F33"/>
    <mergeCell ref="G32:K32"/>
    <mergeCell ref="P32:S33"/>
    <mergeCell ref="T32:AG32"/>
    <mergeCell ref="AI32:AM33"/>
    <mergeCell ref="AN32:AR32"/>
    <mergeCell ref="AH30:AH33"/>
    <mergeCell ref="AI30:AM31"/>
    <mergeCell ref="AN30:AR30"/>
    <mergeCell ref="AS30:AV33"/>
    <mergeCell ref="AW30:AZ31"/>
    <mergeCell ref="BA30:BN30"/>
    <mergeCell ref="AW32:AZ33"/>
    <mergeCell ref="BA32:BN32"/>
    <mergeCell ref="G33:K33"/>
    <mergeCell ref="T33:AG33"/>
    <mergeCell ref="AN33:AR33"/>
    <mergeCell ref="BA33:BN33"/>
    <mergeCell ref="A30:A33"/>
    <mergeCell ref="B30:F31"/>
    <mergeCell ref="G30:K30"/>
    <mergeCell ref="L30:O33"/>
    <mergeCell ref="P30:S31"/>
    <mergeCell ref="T30:AG30"/>
    <mergeCell ref="G31:K31"/>
    <mergeCell ref="T31:AG31"/>
    <mergeCell ref="AN31:AR31"/>
    <mergeCell ref="AN27:AR27"/>
    <mergeCell ref="BA27:BN27"/>
    <mergeCell ref="B28:F29"/>
    <mergeCell ref="G28:K28"/>
    <mergeCell ref="P28:S29"/>
    <mergeCell ref="T28:AG28"/>
    <mergeCell ref="AI28:AM29"/>
    <mergeCell ref="AN28:AR28"/>
    <mergeCell ref="AH26:AH29"/>
    <mergeCell ref="AI26:AM27"/>
    <mergeCell ref="AN26:AR26"/>
    <mergeCell ref="AS26:AV29"/>
    <mergeCell ref="AW26:AZ27"/>
    <mergeCell ref="BA26:BN26"/>
    <mergeCell ref="AW28:AZ29"/>
    <mergeCell ref="BA28:BN28"/>
    <mergeCell ref="G29:K29"/>
    <mergeCell ref="T29:AG29"/>
    <mergeCell ref="AN29:AR29"/>
    <mergeCell ref="BA29:BN29"/>
    <mergeCell ref="AN25:AR25"/>
    <mergeCell ref="BA25:BN25"/>
    <mergeCell ref="A26:A29"/>
    <mergeCell ref="B26:F27"/>
    <mergeCell ref="G26:K26"/>
    <mergeCell ref="L26:O29"/>
    <mergeCell ref="P26:S27"/>
    <mergeCell ref="T26:AG26"/>
    <mergeCell ref="P24:S25"/>
    <mergeCell ref="T24:AG24"/>
    <mergeCell ref="AI24:AM25"/>
    <mergeCell ref="AN24:AR24"/>
    <mergeCell ref="AW24:AZ25"/>
    <mergeCell ref="BA24:BN24"/>
    <mergeCell ref="AH22:AH25"/>
    <mergeCell ref="AI22:AM23"/>
    <mergeCell ref="AN22:AR22"/>
    <mergeCell ref="AS22:AV25"/>
    <mergeCell ref="AW22:AZ23"/>
    <mergeCell ref="BA22:BN22"/>
    <mergeCell ref="AN23:AR23"/>
    <mergeCell ref="BA23:BN23"/>
    <mergeCell ref="G27:K27"/>
    <mergeCell ref="T27:AG27"/>
    <mergeCell ref="A22:A25"/>
    <mergeCell ref="B22:F23"/>
    <mergeCell ref="G22:K22"/>
    <mergeCell ref="L22:O25"/>
    <mergeCell ref="P22:S23"/>
    <mergeCell ref="T22:AG22"/>
    <mergeCell ref="G23:K23"/>
    <mergeCell ref="T23:AG23"/>
    <mergeCell ref="B24:F25"/>
    <mergeCell ref="G24:K24"/>
    <mergeCell ref="G25:K25"/>
    <mergeCell ref="T25:AG25"/>
    <mergeCell ref="AH20:AH21"/>
    <mergeCell ref="AI20:AM21"/>
    <mergeCell ref="AN20:AR20"/>
    <mergeCell ref="AS20:AV21"/>
    <mergeCell ref="AW20:AZ21"/>
    <mergeCell ref="BA20:BN20"/>
    <mergeCell ref="AN21:AR21"/>
    <mergeCell ref="BA21:BN21"/>
    <mergeCell ref="A20:A21"/>
    <mergeCell ref="B20:F21"/>
    <mergeCell ref="G20:K20"/>
    <mergeCell ref="L20:O21"/>
    <mergeCell ref="P20:S21"/>
    <mergeCell ref="T20:AG20"/>
    <mergeCell ref="G21:K21"/>
    <mergeCell ref="T21:AG21"/>
    <mergeCell ref="AN13:BN18"/>
    <mergeCell ref="A15:F16"/>
    <mergeCell ref="G15:O16"/>
    <mergeCell ref="P15:U16"/>
    <mergeCell ref="V15:AE15"/>
    <mergeCell ref="AF15:AG15"/>
    <mergeCell ref="V16:AE16"/>
    <mergeCell ref="AF16:AG16"/>
    <mergeCell ref="A13:F14"/>
    <mergeCell ref="G13:O14"/>
    <mergeCell ref="P13:Q14"/>
    <mergeCell ref="R13:Z14"/>
    <mergeCell ref="AA13:AB14"/>
    <mergeCell ref="AC13:AE14"/>
    <mergeCell ref="A17:F18"/>
    <mergeCell ref="G17:O18"/>
    <mergeCell ref="P17:U18"/>
    <mergeCell ref="V17:AE17"/>
    <mergeCell ref="AF17:AG17"/>
    <mergeCell ref="V18:AE18"/>
    <mergeCell ref="AF18:AG18"/>
    <mergeCell ref="AF13:AG14"/>
    <mergeCell ref="AH13:AM18"/>
    <mergeCell ref="BE6:BN7"/>
    <mergeCell ref="A8:F9"/>
    <mergeCell ref="G8:AG8"/>
    <mergeCell ref="AH8:AM9"/>
    <mergeCell ref="AN8:BN9"/>
    <mergeCell ref="G9:M9"/>
    <mergeCell ref="N9:AG9"/>
    <mergeCell ref="BC1:BF1"/>
    <mergeCell ref="BG1:BJ1"/>
    <mergeCell ref="BK1:BN1"/>
    <mergeCell ref="AR2:AV4"/>
    <mergeCell ref="AY2:BB4"/>
    <mergeCell ref="BC2:BF4"/>
    <mergeCell ref="BG2:BJ4"/>
    <mergeCell ref="BK2:BN4"/>
    <mergeCell ref="A1:E2"/>
    <mergeCell ref="F1:K2"/>
    <mergeCell ref="U1:AO3"/>
    <mergeCell ref="AR1:AV1"/>
    <mergeCell ref="AX1:AX4"/>
    <mergeCell ref="AY1:BB1"/>
  </mergeCells>
  <phoneticPr fontId="3"/>
  <dataValidations count="4">
    <dataValidation type="list" allowBlank="1" showInputMessage="1" showErrorMessage="1" sqref="G15:O18">
      <formula1>"自宅,杉本キャンパス,阿倍野キャンパス,中百舌鳥キャンパス,羽曳野キャンパス,りんくうキャンパス,工業高等専門学校,職務外用務地（兼業）,職務外用務地（私用）"</formula1>
    </dataValidation>
    <dataValidation allowBlank="1" showInputMessage="1" showErrorMessage="1" prompt="日付は「旅行期間開始日」以前の日付を入力してください。_x000a_" sqref="BE6:BN7"/>
    <dataValidation type="list" allowBlank="1" showInputMessage="1" showErrorMessage="1" sqref="O42:AG42">
      <formula1>"(選択してください),基盤研究費,大学運営経費,科研費（代表者）,科研費（学内分担）,科研費（学外分担）,寄附金,補助金,受託事業,共同研究,受託研究,助成金,科研間接経費,自己負担（精算なし）,先方負担,その他"</formula1>
    </dataValidation>
    <dataValidation type="list" allowBlank="1" showInputMessage="1" showErrorMessage="1" sqref="N9:AG9">
      <formula1>"(選択してください),校長,准教授,講師,助教"</formula1>
    </dataValidation>
  </dataValidations>
  <printOptions horizontalCentered="1"/>
  <pageMargins left="0.19685039370078741" right="0.19685039370078741" top="0.39370078740157483" bottom="0.19685039370078741" header="0.11811023622047245" footer="0.11811023622047245"/>
  <pageSetup paperSize="9" scale="95" orientation="landscape" r:id="rId1"/>
  <headerFooter>
    <oddFooter>&amp;L&amp;P</oddFooter>
  </headerFooter>
  <rowBreaks count="1" manualBreakCount="1">
    <brk id="37" max="16383" man="1"/>
  </rowBreak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W72"/>
  <sheetViews>
    <sheetView view="pageBreakPreview" zoomScaleNormal="100" zoomScaleSheetLayoutView="100" workbookViewId="0">
      <selection activeCell="R1" sqref="R1:AQ3"/>
    </sheetView>
  </sheetViews>
  <sheetFormatPr defaultColWidth="1.8984375" defaultRowHeight="13.2"/>
  <cols>
    <col min="1" max="1" width="2" style="24" customWidth="1"/>
    <col min="2" max="2" width="2.3984375" style="24" customWidth="1"/>
    <col min="3" max="66" width="2" style="24" customWidth="1"/>
    <col min="67" max="16384" width="1.8984375" style="24"/>
  </cols>
  <sheetData>
    <row r="1" spans="1:66" ht="12.75" customHeight="1">
      <c r="A1" s="475" t="s">
        <v>68</v>
      </c>
      <c r="B1" s="475"/>
      <c r="C1" s="475"/>
      <c r="D1" s="475"/>
      <c r="E1" s="475"/>
      <c r="F1" s="475" t="s">
        <v>122</v>
      </c>
      <c r="G1" s="475"/>
      <c r="H1" s="475"/>
      <c r="I1" s="475"/>
      <c r="J1" s="475"/>
      <c r="K1" s="475"/>
      <c r="M1" s="62"/>
      <c r="N1" s="62"/>
      <c r="O1" s="62"/>
      <c r="R1" s="259" t="s">
        <v>89</v>
      </c>
      <c r="S1" s="259"/>
      <c r="T1" s="259"/>
      <c r="U1" s="259"/>
      <c r="V1" s="259"/>
      <c r="W1" s="259"/>
      <c r="X1" s="259"/>
      <c r="Y1" s="259"/>
      <c r="Z1" s="259"/>
      <c r="AA1" s="259"/>
      <c r="AB1" s="259"/>
      <c r="AC1" s="259"/>
      <c r="AD1" s="259"/>
      <c r="AE1" s="259"/>
      <c r="AF1" s="259"/>
      <c r="AG1" s="259"/>
      <c r="AH1" s="259"/>
      <c r="AI1" s="259"/>
      <c r="AJ1" s="259"/>
      <c r="AK1" s="259"/>
      <c r="AL1" s="259"/>
      <c r="AM1" s="259"/>
      <c r="AN1" s="259"/>
      <c r="AO1" s="259"/>
      <c r="AP1" s="259"/>
      <c r="AQ1" s="260"/>
      <c r="AR1" s="261" t="s">
        <v>9</v>
      </c>
      <c r="AS1" s="262"/>
      <c r="AT1" s="262"/>
      <c r="AU1" s="262"/>
      <c r="AV1" s="263"/>
      <c r="AX1" s="264" t="s">
        <v>38</v>
      </c>
      <c r="AY1" s="138" t="s">
        <v>6</v>
      </c>
      <c r="AZ1" s="139"/>
      <c r="BA1" s="139"/>
      <c r="BB1" s="140"/>
      <c r="BC1" s="267" t="s">
        <v>10</v>
      </c>
      <c r="BD1" s="267"/>
      <c r="BE1" s="267"/>
      <c r="BF1" s="267"/>
      <c r="BG1" s="267" t="s">
        <v>5</v>
      </c>
      <c r="BH1" s="267"/>
      <c r="BI1" s="267"/>
      <c r="BJ1" s="267"/>
      <c r="BK1" s="267" t="s">
        <v>4</v>
      </c>
      <c r="BL1" s="267"/>
      <c r="BM1" s="267"/>
      <c r="BN1" s="267"/>
    </row>
    <row r="2" spans="1:66" ht="12.75" customHeight="1">
      <c r="A2" s="475"/>
      <c r="B2" s="475"/>
      <c r="C2" s="475"/>
      <c r="D2" s="475"/>
      <c r="E2" s="475"/>
      <c r="F2" s="475"/>
      <c r="G2" s="475"/>
      <c r="H2" s="475"/>
      <c r="I2" s="475"/>
      <c r="J2" s="475"/>
      <c r="K2" s="475"/>
      <c r="L2" s="62"/>
      <c r="M2" s="62"/>
      <c r="N2" s="62"/>
      <c r="O2" s="62"/>
      <c r="P2" s="62"/>
      <c r="Q2" s="62"/>
      <c r="R2" s="259"/>
      <c r="S2" s="259"/>
      <c r="T2" s="259"/>
      <c r="U2" s="259"/>
      <c r="V2" s="259"/>
      <c r="W2" s="259"/>
      <c r="X2" s="259"/>
      <c r="Y2" s="259"/>
      <c r="Z2" s="259"/>
      <c r="AA2" s="259"/>
      <c r="AB2" s="259"/>
      <c r="AC2" s="259"/>
      <c r="AD2" s="259"/>
      <c r="AE2" s="259"/>
      <c r="AF2" s="259"/>
      <c r="AG2" s="259"/>
      <c r="AH2" s="259"/>
      <c r="AI2" s="259"/>
      <c r="AJ2" s="259"/>
      <c r="AK2" s="259"/>
      <c r="AL2" s="259"/>
      <c r="AM2" s="259"/>
      <c r="AN2" s="259"/>
      <c r="AO2" s="259"/>
      <c r="AP2" s="259"/>
      <c r="AQ2" s="260"/>
      <c r="AR2" s="138"/>
      <c r="AS2" s="139"/>
      <c r="AT2" s="139"/>
      <c r="AU2" s="139"/>
      <c r="AV2" s="140"/>
      <c r="AX2" s="265"/>
      <c r="AY2" s="274"/>
      <c r="AZ2" s="274"/>
      <c r="BA2" s="274"/>
      <c r="BB2" s="274"/>
      <c r="BC2" s="274"/>
      <c r="BD2" s="274"/>
      <c r="BE2" s="274"/>
      <c r="BF2" s="274"/>
      <c r="BG2" s="274"/>
      <c r="BH2" s="274"/>
      <c r="BI2" s="274"/>
      <c r="BJ2" s="274"/>
      <c r="BK2" s="274"/>
      <c r="BL2" s="274"/>
      <c r="BM2" s="274"/>
      <c r="BN2" s="274"/>
    </row>
    <row r="3" spans="1:66" ht="13.2" customHeight="1">
      <c r="G3" s="61"/>
      <c r="H3" s="61"/>
      <c r="I3" s="61"/>
      <c r="J3" s="61"/>
      <c r="K3" s="61"/>
      <c r="L3" s="62"/>
      <c r="M3" s="62"/>
      <c r="N3" s="62"/>
      <c r="O3" s="62"/>
      <c r="P3" s="62"/>
      <c r="Q3" s="62"/>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60"/>
      <c r="AR3" s="268"/>
      <c r="AS3" s="269"/>
      <c r="AT3" s="269"/>
      <c r="AU3" s="269"/>
      <c r="AV3" s="270"/>
      <c r="AX3" s="265"/>
      <c r="AY3" s="274"/>
      <c r="AZ3" s="274"/>
      <c r="BA3" s="274"/>
      <c r="BB3" s="274"/>
      <c r="BC3" s="274"/>
      <c r="BD3" s="274"/>
      <c r="BE3" s="274"/>
      <c r="BF3" s="274"/>
      <c r="BG3" s="274"/>
      <c r="BH3" s="274"/>
      <c r="BI3" s="274"/>
      <c r="BJ3" s="274"/>
      <c r="BK3" s="274"/>
      <c r="BL3" s="274"/>
      <c r="BM3" s="274"/>
      <c r="BN3" s="274"/>
    </row>
    <row r="4" spans="1:66" ht="13.2" customHeight="1">
      <c r="G4" s="59"/>
      <c r="I4" s="61"/>
      <c r="J4" s="61"/>
      <c r="K4" s="61"/>
      <c r="L4" s="61"/>
      <c r="M4" s="61"/>
      <c r="N4" s="61"/>
      <c r="O4" s="61"/>
      <c r="AQ4" s="41"/>
      <c r="AR4" s="271"/>
      <c r="AS4" s="272"/>
      <c r="AT4" s="272"/>
      <c r="AU4" s="272"/>
      <c r="AV4" s="273"/>
      <c r="AX4" s="266"/>
      <c r="AY4" s="274"/>
      <c r="AZ4" s="274"/>
      <c r="BA4" s="274"/>
      <c r="BB4" s="274"/>
      <c r="BC4" s="274"/>
      <c r="BD4" s="274"/>
      <c r="BE4" s="274"/>
      <c r="BF4" s="274"/>
      <c r="BG4" s="274"/>
      <c r="BH4" s="274"/>
      <c r="BI4" s="274"/>
      <c r="BJ4" s="274"/>
      <c r="BK4" s="274"/>
      <c r="BL4" s="274"/>
      <c r="BM4" s="274"/>
      <c r="BN4" s="274"/>
    </row>
    <row r="5" spans="1:66" ht="14.1" customHeight="1">
      <c r="G5" s="59"/>
      <c r="I5" s="59"/>
      <c r="J5" s="59"/>
      <c r="K5" s="59"/>
      <c r="L5" s="59"/>
      <c r="M5" s="59"/>
      <c r="N5" s="59"/>
      <c r="O5" s="59"/>
      <c r="P5" s="59"/>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41"/>
      <c r="AR5" s="60"/>
      <c r="AS5" s="60"/>
      <c r="AU5" s="59"/>
      <c r="AV5" s="59"/>
    </row>
    <row r="6" spans="1:66" ht="14.1" customHeight="1">
      <c r="A6" s="59" t="s">
        <v>37</v>
      </c>
      <c r="F6" s="59"/>
      <c r="G6" s="59"/>
      <c r="I6" s="59"/>
      <c r="J6" s="59"/>
      <c r="K6" s="59"/>
      <c r="L6" s="59"/>
      <c r="M6" s="59"/>
      <c r="N6" s="59"/>
      <c r="O6" s="59"/>
      <c r="P6" s="59"/>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U6" s="59"/>
      <c r="AV6" s="59"/>
      <c r="AY6" s="41"/>
      <c r="AZ6" s="41"/>
      <c r="BA6" s="41"/>
      <c r="BB6" s="41"/>
      <c r="BE6" s="269" t="s">
        <v>55</v>
      </c>
      <c r="BF6" s="269"/>
      <c r="BG6" s="269"/>
      <c r="BH6" s="269"/>
      <c r="BI6" s="269"/>
      <c r="BJ6" s="269"/>
      <c r="BK6" s="269"/>
      <c r="BL6" s="269"/>
      <c r="BM6" s="269"/>
      <c r="BN6" s="269"/>
    </row>
    <row r="7" spans="1:66" ht="14.1" customHeight="1">
      <c r="F7" s="59"/>
      <c r="G7" s="59"/>
      <c r="I7" s="59"/>
      <c r="J7" s="59"/>
      <c r="K7" s="59"/>
      <c r="L7" s="59"/>
      <c r="M7" s="59"/>
      <c r="N7" s="59"/>
      <c r="O7" s="59"/>
      <c r="P7" s="59"/>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U7" s="59"/>
      <c r="AV7" s="59"/>
      <c r="AY7" s="58"/>
      <c r="AZ7" s="58"/>
      <c r="BA7" s="58"/>
      <c r="BB7" s="58"/>
      <c r="BE7" s="272"/>
      <c r="BF7" s="272"/>
      <c r="BG7" s="272"/>
      <c r="BH7" s="272"/>
      <c r="BI7" s="272"/>
      <c r="BJ7" s="272"/>
      <c r="BK7" s="272"/>
      <c r="BL7" s="272"/>
      <c r="BM7" s="272"/>
      <c r="BN7" s="272"/>
    </row>
    <row r="8" spans="1:66" ht="18.75" customHeight="1">
      <c r="A8" s="172" t="s">
        <v>27</v>
      </c>
      <c r="B8" s="133"/>
      <c r="C8" s="133"/>
      <c r="D8" s="133"/>
      <c r="E8" s="133"/>
      <c r="F8" s="134"/>
      <c r="G8" s="277" t="str">
        <f>IF('[1]旅行命令上申書（国外旅行'!G8:AG8="","",'[1]旅行命令上申書（国外旅行'!G8:AG8)</f>
        <v>大阪公立大学工業高等専門学校</v>
      </c>
      <c r="H8" s="278"/>
      <c r="I8" s="278"/>
      <c r="J8" s="278"/>
      <c r="K8" s="278"/>
      <c r="L8" s="278"/>
      <c r="M8" s="278"/>
      <c r="N8" s="278"/>
      <c r="O8" s="278"/>
      <c r="P8" s="278"/>
      <c r="Q8" s="278"/>
      <c r="R8" s="278"/>
      <c r="S8" s="278"/>
      <c r="T8" s="278"/>
      <c r="U8" s="278"/>
      <c r="V8" s="278"/>
      <c r="W8" s="278"/>
      <c r="X8" s="278"/>
      <c r="Y8" s="278"/>
      <c r="Z8" s="278"/>
      <c r="AA8" s="278"/>
      <c r="AB8" s="278"/>
      <c r="AC8" s="278"/>
      <c r="AD8" s="278"/>
      <c r="AE8" s="278"/>
      <c r="AF8" s="278"/>
      <c r="AG8" s="279"/>
      <c r="AH8" s="172" t="s">
        <v>137</v>
      </c>
      <c r="AI8" s="133"/>
      <c r="AJ8" s="133"/>
      <c r="AK8" s="133"/>
      <c r="AL8" s="133"/>
      <c r="AM8" s="134"/>
      <c r="AN8" s="138" t="str">
        <f>IF('[1]旅行命令上申書（国外旅行'!AN8:BN9="","",'[1]旅行命令上申書（国外旅行'!AN8:BN9)</f>
        <v/>
      </c>
      <c r="AO8" s="139"/>
      <c r="AP8" s="139"/>
      <c r="AQ8" s="139"/>
      <c r="AR8" s="139"/>
      <c r="AS8" s="139"/>
      <c r="AT8" s="139"/>
      <c r="AU8" s="139"/>
      <c r="AV8" s="139"/>
      <c r="AW8" s="139"/>
      <c r="AX8" s="139"/>
      <c r="AY8" s="139"/>
      <c r="AZ8" s="139"/>
      <c r="BA8" s="139"/>
      <c r="BB8" s="139"/>
      <c r="BC8" s="139"/>
      <c r="BD8" s="139"/>
      <c r="BE8" s="139"/>
      <c r="BF8" s="139"/>
      <c r="BG8" s="139"/>
      <c r="BH8" s="139"/>
      <c r="BI8" s="139"/>
      <c r="BJ8" s="139"/>
      <c r="BK8" s="139"/>
      <c r="BL8" s="139"/>
      <c r="BM8" s="139"/>
      <c r="BN8" s="140"/>
    </row>
    <row r="9" spans="1:66" ht="18.75" customHeight="1">
      <c r="A9" s="135"/>
      <c r="B9" s="136"/>
      <c r="C9" s="136"/>
      <c r="D9" s="136"/>
      <c r="E9" s="136"/>
      <c r="F9" s="137"/>
      <c r="G9" s="271" t="s">
        <v>138</v>
      </c>
      <c r="H9" s="272"/>
      <c r="I9" s="272"/>
      <c r="J9" s="272"/>
      <c r="K9" s="272"/>
      <c r="L9" s="272"/>
      <c r="M9" s="272"/>
      <c r="N9" s="298" t="str">
        <f>IF('[1]旅行命令上申書（国外旅行'!N9:AG9="","",'[1]旅行命令上申書（国外旅行'!N9:AG9)</f>
        <v/>
      </c>
      <c r="O9" s="298"/>
      <c r="P9" s="298"/>
      <c r="Q9" s="298"/>
      <c r="R9" s="298"/>
      <c r="S9" s="298"/>
      <c r="T9" s="298"/>
      <c r="U9" s="298"/>
      <c r="V9" s="298"/>
      <c r="W9" s="298"/>
      <c r="X9" s="298"/>
      <c r="Y9" s="298"/>
      <c r="Z9" s="298"/>
      <c r="AA9" s="298"/>
      <c r="AB9" s="298"/>
      <c r="AC9" s="298"/>
      <c r="AD9" s="298"/>
      <c r="AE9" s="298"/>
      <c r="AF9" s="298"/>
      <c r="AG9" s="299"/>
      <c r="AH9" s="135"/>
      <c r="AI9" s="136"/>
      <c r="AJ9" s="136"/>
      <c r="AK9" s="136"/>
      <c r="AL9" s="136"/>
      <c r="AM9" s="137"/>
      <c r="AN9" s="271"/>
      <c r="AO9" s="272"/>
      <c r="AP9" s="272"/>
      <c r="AQ9" s="272"/>
      <c r="AR9" s="272"/>
      <c r="AS9" s="272"/>
      <c r="AT9" s="272"/>
      <c r="AU9" s="272"/>
      <c r="AV9" s="272"/>
      <c r="AW9" s="272"/>
      <c r="AX9" s="272"/>
      <c r="AY9" s="272"/>
      <c r="AZ9" s="272"/>
      <c r="BA9" s="272"/>
      <c r="BB9" s="272"/>
      <c r="BC9" s="272"/>
      <c r="BD9" s="272"/>
      <c r="BE9" s="272"/>
      <c r="BF9" s="272"/>
      <c r="BG9" s="272"/>
      <c r="BH9" s="272"/>
      <c r="BI9" s="272"/>
      <c r="BJ9" s="272"/>
      <c r="BK9" s="272"/>
      <c r="BL9" s="272"/>
      <c r="BM9" s="272"/>
      <c r="BN9" s="273"/>
    </row>
    <row r="10" spans="1:66" ht="17.25" customHeight="1"/>
    <row r="11" spans="1:66" ht="17.25" customHeight="1">
      <c r="B11" s="24" t="s">
        <v>88</v>
      </c>
    </row>
    <row r="12" spans="1:66" ht="6.75" customHeight="1"/>
    <row r="13" spans="1:66" ht="17.25" customHeight="1">
      <c r="A13" s="172" t="s">
        <v>0</v>
      </c>
      <c r="B13" s="133"/>
      <c r="C13" s="133"/>
      <c r="D13" s="133"/>
      <c r="E13" s="133"/>
      <c r="F13" s="134"/>
      <c r="G13" s="318" t="str">
        <f>IF('[1]旅行命令上申書（国外旅行'!G13:O14="","",'[1]旅行命令上申書（国外旅行'!G13:O14)</f>
        <v/>
      </c>
      <c r="H13" s="318"/>
      <c r="I13" s="318"/>
      <c r="J13" s="318"/>
      <c r="K13" s="318"/>
      <c r="L13" s="318"/>
      <c r="M13" s="318"/>
      <c r="N13" s="318"/>
      <c r="O13" s="319"/>
      <c r="P13" s="320" t="s">
        <v>139</v>
      </c>
      <c r="Q13" s="321"/>
      <c r="R13" s="322" t="str">
        <f>IF('[1]旅行命令上申書（国外旅行'!R13:Z14="","",'[1]旅行命令上申書（国外旅行'!R13:Z14)</f>
        <v/>
      </c>
      <c r="S13" s="318"/>
      <c r="T13" s="318"/>
      <c r="U13" s="318"/>
      <c r="V13" s="318"/>
      <c r="W13" s="318"/>
      <c r="X13" s="318"/>
      <c r="Y13" s="318"/>
      <c r="Z13" s="319"/>
      <c r="AA13" s="320" t="s">
        <v>140</v>
      </c>
      <c r="AB13" s="321"/>
      <c r="AC13" s="323" t="str">
        <f>IF('[1]旅行命令上申書（国外旅行'!AC13:AE14="","",'[1]旅行命令上申書（国外旅行'!AC13:AE14)</f>
        <v/>
      </c>
      <c r="AD13" s="324"/>
      <c r="AE13" s="325"/>
      <c r="AF13" s="320" t="s">
        <v>8</v>
      </c>
      <c r="AG13" s="267"/>
      <c r="AH13" s="132" t="s">
        <v>87</v>
      </c>
      <c r="AI13" s="185"/>
      <c r="AJ13" s="185"/>
      <c r="AK13" s="185"/>
      <c r="AL13" s="185"/>
      <c r="AM13" s="186"/>
      <c r="AN13" s="280"/>
      <c r="AO13" s="281"/>
      <c r="AP13" s="300" t="s">
        <v>86</v>
      </c>
      <c r="AQ13" s="300"/>
      <c r="AR13" s="300"/>
      <c r="AS13" s="300"/>
      <c r="AT13" s="300"/>
      <c r="AU13" s="300"/>
      <c r="AV13" s="281"/>
      <c r="AW13" s="281"/>
      <c r="AX13" s="300" t="s">
        <v>85</v>
      </c>
      <c r="AY13" s="300"/>
      <c r="AZ13" s="300"/>
      <c r="BA13" s="300"/>
      <c r="BB13" s="300"/>
      <c r="BC13" s="300"/>
      <c r="BD13" s="57"/>
      <c r="BE13" s="57"/>
      <c r="BF13" s="57"/>
      <c r="BG13" s="57"/>
      <c r="BH13" s="57"/>
      <c r="BI13" s="57"/>
      <c r="BJ13" s="57"/>
      <c r="BK13" s="57"/>
      <c r="BL13" s="57"/>
      <c r="BM13" s="57"/>
      <c r="BN13" s="56"/>
    </row>
    <row r="14" spans="1:66" ht="17.25" customHeight="1">
      <c r="A14" s="135"/>
      <c r="B14" s="136"/>
      <c r="C14" s="136"/>
      <c r="D14" s="136"/>
      <c r="E14" s="136"/>
      <c r="F14" s="137"/>
      <c r="G14" s="318"/>
      <c r="H14" s="318"/>
      <c r="I14" s="318"/>
      <c r="J14" s="318"/>
      <c r="K14" s="318"/>
      <c r="L14" s="318"/>
      <c r="M14" s="318"/>
      <c r="N14" s="318"/>
      <c r="O14" s="319"/>
      <c r="P14" s="320"/>
      <c r="Q14" s="321"/>
      <c r="R14" s="322"/>
      <c r="S14" s="318"/>
      <c r="T14" s="318"/>
      <c r="U14" s="318"/>
      <c r="V14" s="318"/>
      <c r="W14" s="318"/>
      <c r="X14" s="318"/>
      <c r="Y14" s="318"/>
      <c r="Z14" s="319"/>
      <c r="AA14" s="320"/>
      <c r="AB14" s="321"/>
      <c r="AC14" s="323"/>
      <c r="AD14" s="324"/>
      <c r="AE14" s="325"/>
      <c r="AF14" s="320"/>
      <c r="AG14" s="267"/>
      <c r="AH14" s="343"/>
      <c r="AI14" s="344"/>
      <c r="AJ14" s="344"/>
      <c r="AK14" s="344"/>
      <c r="AL14" s="344"/>
      <c r="AM14" s="345"/>
      <c r="AN14" s="527"/>
      <c r="AO14" s="528"/>
      <c r="AP14" s="528"/>
      <c r="AQ14" s="528"/>
      <c r="AR14" s="528"/>
      <c r="AS14" s="528"/>
      <c r="AT14" s="528"/>
      <c r="AU14" s="528"/>
      <c r="AV14" s="528"/>
      <c r="AW14" s="528"/>
      <c r="AX14" s="528"/>
      <c r="AY14" s="528"/>
      <c r="AZ14" s="528"/>
      <c r="BA14" s="528"/>
      <c r="BB14" s="528"/>
      <c r="BC14" s="528"/>
      <c r="BD14" s="528"/>
      <c r="BE14" s="528"/>
      <c r="BF14" s="528"/>
      <c r="BG14" s="528"/>
      <c r="BH14" s="528"/>
      <c r="BI14" s="528"/>
      <c r="BJ14" s="528"/>
      <c r="BK14" s="528"/>
      <c r="BL14" s="528"/>
      <c r="BM14" s="528"/>
      <c r="BN14" s="529"/>
    </row>
    <row r="15" spans="1:66" ht="17.25" customHeight="1">
      <c r="A15" s="172" t="s">
        <v>52</v>
      </c>
      <c r="B15" s="133"/>
      <c r="C15" s="133"/>
      <c r="D15" s="133"/>
      <c r="E15" s="133"/>
      <c r="F15" s="134"/>
      <c r="G15" s="282" t="str">
        <f>IF('[1]旅行命令上申書（国外旅行'!G15:O16="","",'[1]旅行命令上申書（国外旅行'!G15:O16)</f>
        <v/>
      </c>
      <c r="H15" s="283"/>
      <c r="I15" s="283"/>
      <c r="J15" s="283"/>
      <c r="K15" s="283"/>
      <c r="L15" s="283"/>
      <c r="M15" s="283"/>
      <c r="N15" s="283"/>
      <c r="O15" s="284"/>
      <c r="P15" s="185" t="s">
        <v>60</v>
      </c>
      <c r="Q15" s="133"/>
      <c r="R15" s="133"/>
      <c r="S15" s="133"/>
      <c r="T15" s="133"/>
      <c r="U15" s="288"/>
      <c r="V15" s="290" t="str">
        <f>IF('[1]旅行命令上申書（国外旅行'!V15:AE15="","",'[1]旅行命令上申書（国外旅行'!V15:AE15)</f>
        <v/>
      </c>
      <c r="W15" s="171"/>
      <c r="X15" s="171"/>
      <c r="Y15" s="171"/>
      <c r="Z15" s="171"/>
      <c r="AA15" s="171"/>
      <c r="AB15" s="171"/>
      <c r="AC15" s="171"/>
      <c r="AD15" s="171"/>
      <c r="AE15" s="291"/>
      <c r="AF15" s="281" t="s">
        <v>40</v>
      </c>
      <c r="AG15" s="292"/>
      <c r="AH15" s="132" t="s">
        <v>141</v>
      </c>
      <c r="AI15" s="185"/>
      <c r="AJ15" s="185"/>
      <c r="AK15" s="185"/>
      <c r="AL15" s="185"/>
      <c r="AM15" s="186"/>
      <c r="AN15" s="141"/>
      <c r="AO15" s="142"/>
      <c r="AP15" s="142"/>
      <c r="AQ15" s="142"/>
      <c r="AR15" s="142"/>
      <c r="AS15" s="142"/>
      <c r="AT15" s="142"/>
      <c r="AU15" s="142"/>
      <c r="AV15" s="142"/>
      <c r="AW15" s="142"/>
      <c r="AX15" s="142"/>
      <c r="AY15" s="142"/>
      <c r="AZ15" s="142"/>
      <c r="BA15" s="142"/>
      <c r="BB15" s="142"/>
      <c r="BC15" s="142"/>
      <c r="BD15" s="142"/>
      <c r="BE15" s="142"/>
      <c r="BF15" s="142"/>
      <c r="BG15" s="142"/>
      <c r="BH15" s="142"/>
      <c r="BI15" s="142"/>
      <c r="BJ15" s="142"/>
      <c r="BK15" s="142"/>
      <c r="BL15" s="142"/>
      <c r="BM15" s="142"/>
      <c r="BN15" s="143"/>
    </row>
    <row r="16" spans="1:66" ht="17.25" customHeight="1">
      <c r="A16" s="135"/>
      <c r="B16" s="136"/>
      <c r="C16" s="136"/>
      <c r="D16" s="136"/>
      <c r="E16" s="136"/>
      <c r="F16" s="137"/>
      <c r="G16" s="285"/>
      <c r="H16" s="286"/>
      <c r="I16" s="286"/>
      <c r="J16" s="286"/>
      <c r="K16" s="286"/>
      <c r="L16" s="286"/>
      <c r="M16" s="286"/>
      <c r="N16" s="286"/>
      <c r="O16" s="287"/>
      <c r="P16" s="136"/>
      <c r="Q16" s="136"/>
      <c r="R16" s="136"/>
      <c r="S16" s="136"/>
      <c r="T16" s="136"/>
      <c r="U16" s="289"/>
      <c r="V16" s="293" t="str">
        <f>IF('[1]旅行命令上申書（国外旅行'!V16:AE16="","",'[1]旅行命令上申書（国外旅行'!V16:AE16)</f>
        <v/>
      </c>
      <c r="W16" s="148"/>
      <c r="X16" s="148"/>
      <c r="Y16" s="148"/>
      <c r="Z16" s="148"/>
      <c r="AA16" s="148"/>
      <c r="AB16" s="148"/>
      <c r="AC16" s="148"/>
      <c r="AD16" s="148"/>
      <c r="AE16" s="294"/>
      <c r="AF16" s="272" t="s">
        <v>47</v>
      </c>
      <c r="AG16" s="273"/>
      <c r="AH16" s="343"/>
      <c r="AI16" s="344"/>
      <c r="AJ16" s="344"/>
      <c r="AK16" s="344"/>
      <c r="AL16" s="344"/>
      <c r="AM16" s="345"/>
      <c r="AN16" s="304"/>
      <c r="AO16" s="305"/>
      <c r="AP16" s="305"/>
      <c r="AQ16" s="305"/>
      <c r="AR16" s="305"/>
      <c r="AS16" s="305"/>
      <c r="AT16" s="305"/>
      <c r="AU16" s="305"/>
      <c r="AV16" s="305"/>
      <c r="AW16" s="305"/>
      <c r="AX16" s="305"/>
      <c r="AY16" s="305"/>
      <c r="AZ16" s="305"/>
      <c r="BA16" s="305"/>
      <c r="BB16" s="305"/>
      <c r="BC16" s="305"/>
      <c r="BD16" s="305"/>
      <c r="BE16" s="305"/>
      <c r="BF16" s="305"/>
      <c r="BG16" s="305"/>
      <c r="BH16" s="305"/>
      <c r="BI16" s="305"/>
      <c r="BJ16" s="305"/>
      <c r="BK16" s="305"/>
      <c r="BL16" s="305"/>
      <c r="BM16" s="305"/>
      <c r="BN16" s="306"/>
    </row>
    <row r="17" spans="1:66" ht="17.25" customHeight="1">
      <c r="A17" s="172" t="s">
        <v>51</v>
      </c>
      <c r="B17" s="133"/>
      <c r="C17" s="133"/>
      <c r="D17" s="133"/>
      <c r="E17" s="133"/>
      <c r="F17" s="134"/>
      <c r="G17" s="307" t="str">
        <f>IF('[1]旅行命令上申書（国外旅行'!G17:O18="","",'[1]旅行命令上申書（国外旅行'!G17:O18)</f>
        <v/>
      </c>
      <c r="H17" s="308"/>
      <c r="I17" s="308"/>
      <c r="J17" s="308"/>
      <c r="K17" s="308"/>
      <c r="L17" s="308"/>
      <c r="M17" s="308"/>
      <c r="N17" s="308"/>
      <c r="O17" s="309"/>
      <c r="P17" s="185" t="s">
        <v>60</v>
      </c>
      <c r="Q17" s="133"/>
      <c r="R17" s="133"/>
      <c r="S17" s="133"/>
      <c r="T17" s="133"/>
      <c r="U17" s="288"/>
      <c r="V17" s="290" t="str">
        <f>IF('[1]旅行命令上申書（国外旅行'!V17:AE17="","",'[1]旅行命令上申書（国外旅行'!V17:AE17)</f>
        <v/>
      </c>
      <c r="W17" s="171"/>
      <c r="X17" s="171"/>
      <c r="Y17" s="171"/>
      <c r="Z17" s="171"/>
      <c r="AA17" s="171"/>
      <c r="AB17" s="171"/>
      <c r="AC17" s="171"/>
      <c r="AD17" s="171"/>
      <c r="AE17" s="291"/>
      <c r="AF17" s="486" t="s">
        <v>40</v>
      </c>
      <c r="AG17" s="292"/>
      <c r="AH17" s="343"/>
      <c r="AI17" s="344"/>
      <c r="AJ17" s="344"/>
      <c r="AK17" s="344"/>
      <c r="AL17" s="344"/>
      <c r="AM17" s="345"/>
      <c r="AN17" s="304"/>
      <c r="AO17" s="305"/>
      <c r="AP17" s="305"/>
      <c r="AQ17" s="305"/>
      <c r="AR17" s="305"/>
      <c r="AS17" s="305"/>
      <c r="AT17" s="305"/>
      <c r="AU17" s="305"/>
      <c r="AV17" s="305"/>
      <c r="AW17" s="305"/>
      <c r="AX17" s="305"/>
      <c r="AY17" s="305"/>
      <c r="AZ17" s="305"/>
      <c r="BA17" s="305"/>
      <c r="BB17" s="305"/>
      <c r="BC17" s="305"/>
      <c r="BD17" s="305"/>
      <c r="BE17" s="305"/>
      <c r="BF17" s="305"/>
      <c r="BG17" s="305"/>
      <c r="BH17" s="305"/>
      <c r="BI17" s="305"/>
      <c r="BJ17" s="305"/>
      <c r="BK17" s="305"/>
      <c r="BL17" s="305"/>
      <c r="BM17" s="305"/>
      <c r="BN17" s="306"/>
    </row>
    <row r="18" spans="1:66" ht="17.25" customHeight="1">
      <c r="A18" s="135"/>
      <c r="B18" s="136"/>
      <c r="C18" s="136"/>
      <c r="D18" s="136"/>
      <c r="E18" s="136"/>
      <c r="F18" s="137"/>
      <c r="G18" s="310"/>
      <c r="H18" s="311"/>
      <c r="I18" s="311"/>
      <c r="J18" s="311"/>
      <c r="K18" s="311"/>
      <c r="L18" s="311"/>
      <c r="M18" s="311"/>
      <c r="N18" s="311"/>
      <c r="O18" s="312"/>
      <c r="P18" s="136"/>
      <c r="Q18" s="136"/>
      <c r="R18" s="136"/>
      <c r="S18" s="136"/>
      <c r="T18" s="136"/>
      <c r="U18" s="289"/>
      <c r="V18" s="313" t="str">
        <f>IF('[1]旅行命令上申書（国外旅行'!V18:AE18="","",'[1]旅行命令上申書（国外旅行'!V18:AE18)</f>
        <v/>
      </c>
      <c r="W18" s="314"/>
      <c r="X18" s="314"/>
      <c r="Y18" s="314"/>
      <c r="Z18" s="314"/>
      <c r="AA18" s="314"/>
      <c r="AB18" s="314"/>
      <c r="AC18" s="314"/>
      <c r="AD18" s="314"/>
      <c r="AE18" s="315"/>
      <c r="AF18" s="272" t="s">
        <v>47</v>
      </c>
      <c r="AG18" s="273"/>
      <c r="AH18" s="187"/>
      <c r="AI18" s="188"/>
      <c r="AJ18" s="188"/>
      <c r="AK18" s="188"/>
      <c r="AL18" s="188"/>
      <c r="AM18" s="189"/>
      <c r="AN18" s="144"/>
      <c r="AO18" s="145"/>
      <c r="AP18" s="145"/>
      <c r="AQ18" s="145"/>
      <c r="AR18" s="145"/>
      <c r="AS18" s="145"/>
      <c r="AT18" s="145"/>
      <c r="AU18" s="145"/>
      <c r="AV18" s="145"/>
      <c r="AW18" s="145"/>
      <c r="AX18" s="145"/>
      <c r="AY18" s="145"/>
      <c r="AZ18" s="145"/>
      <c r="BA18" s="145"/>
      <c r="BB18" s="145"/>
      <c r="BC18" s="145"/>
      <c r="BD18" s="145"/>
      <c r="BE18" s="145"/>
      <c r="BF18" s="145"/>
      <c r="BG18" s="145"/>
      <c r="BH18" s="145"/>
      <c r="BI18" s="145"/>
      <c r="BJ18" s="145"/>
      <c r="BK18" s="145"/>
      <c r="BL18" s="145"/>
      <c r="BM18" s="145"/>
      <c r="BN18" s="146"/>
    </row>
    <row r="19" spans="1:66" ht="6.75" customHeight="1">
      <c r="BH19" s="82"/>
    </row>
    <row r="20" spans="1:66" ht="17.25" customHeight="1">
      <c r="A20" s="488"/>
      <c r="B20" s="172" t="s">
        <v>84</v>
      </c>
      <c r="C20" s="133"/>
      <c r="D20" s="133"/>
      <c r="E20" s="133"/>
      <c r="F20" s="134"/>
      <c r="G20" s="490" t="s">
        <v>142</v>
      </c>
      <c r="H20" s="491"/>
      <c r="I20" s="491"/>
      <c r="J20" s="491"/>
      <c r="K20" s="491"/>
      <c r="L20" s="132" t="s">
        <v>143</v>
      </c>
      <c r="M20" s="133"/>
      <c r="N20" s="133"/>
      <c r="O20" s="134"/>
      <c r="P20" s="133" t="s">
        <v>127</v>
      </c>
      <c r="Q20" s="133"/>
      <c r="R20" s="133"/>
      <c r="S20" s="134"/>
      <c r="T20" s="172" t="s">
        <v>128</v>
      </c>
      <c r="U20" s="133"/>
      <c r="V20" s="133"/>
      <c r="W20" s="133"/>
      <c r="X20" s="133"/>
      <c r="Y20" s="133"/>
      <c r="Z20" s="133"/>
      <c r="AA20" s="133"/>
      <c r="AB20" s="133"/>
      <c r="AC20" s="133"/>
      <c r="AD20" s="133"/>
      <c r="AE20" s="133"/>
      <c r="AF20" s="133"/>
      <c r="AG20" s="134"/>
      <c r="AH20" s="488"/>
      <c r="AI20" s="172" t="s">
        <v>84</v>
      </c>
      <c r="AJ20" s="133"/>
      <c r="AK20" s="133"/>
      <c r="AL20" s="133"/>
      <c r="AM20" s="134"/>
      <c r="AN20" s="490" t="s">
        <v>142</v>
      </c>
      <c r="AO20" s="491"/>
      <c r="AP20" s="491"/>
      <c r="AQ20" s="491"/>
      <c r="AR20" s="491"/>
      <c r="AS20" s="132" t="s">
        <v>143</v>
      </c>
      <c r="AT20" s="133"/>
      <c r="AU20" s="133"/>
      <c r="AV20" s="134"/>
      <c r="AW20" s="133" t="s">
        <v>127</v>
      </c>
      <c r="AX20" s="133"/>
      <c r="AY20" s="133"/>
      <c r="AZ20" s="134"/>
      <c r="BA20" s="172" t="s">
        <v>128</v>
      </c>
      <c r="BB20" s="133"/>
      <c r="BC20" s="133"/>
      <c r="BD20" s="133"/>
      <c r="BE20" s="133"/>
      <c r="BF20" s="133"/>
      <c r="BG20" s="133"/>
      <c r="BH20" s="133"/>
      <c r="BI20" s="133"/>
      <c r="BJ20" s="133"/>
      <c r="BK20" s="133"/>
      <c r="BL20" s="133"/>
      <c r="BM20" s="133"/>
      <c r="BN20" s="134"/>
    </row>
    <row r="21" spans="1:66" ht="17.25" customHeight="1">
      <c r="A21" s="489"/>
      <c r="B21" s="135"/>
      <c r="C21" s="136"/>
      <c r="D21" s="136"/>
      <c r="E21" s="136"/>
      <c r="F21" s="137"/>
      <c r="G21" s="135" t="s">
        <v>129</v>
      </c>
      <c r="H21" s="136"/>
      <c r="I21" s="136"/>
      <c r="J21" s="136"/>
      <c r="K21" s="136"/>
      <c r="L21" s="135"/>
      <c r="M21" s="136"/>
      <c r="N21" s="136"/>
      <c r="O21" s="137"/>
      <c r="P21" s="136"/>
      <c r="Q21" s="136"/>
      <c r="R21" s="136"/>
      <c r="S21" s="137"/>
      <c r="T21" s="135" t="s">
        <v>131</v>
      </c>
      <c r="U21" s="136"/>
      <c r="V21" s="136"/>
      <c r="W21" s="136"/>
      <c r="X21" s="136"/>
      <c r="Y21" s="136"/>
      <c r="Z21" s="136"/>
      <c r="AA21" s="136"/>
      <c r="AB21" s="136"/>
      <c r="AC21" s="136"/>
      <c r="AD21" s="136"/>
      <c r="AE21" s="136"/>
      <c r="AF21" s="136"/>
      <c r="AG21" s="137"/>
      <c r="AH21" s="489"/>
      <c r="AI21" s="135"/>
      <c r="AJ21" s="136"/>
      <c r="AK21" s="136"/>
      <c r="AL21" s="136"/>
      <c r="AM21" s="137"/>
      <c r="AN21" s="135" t="s">
        <v>129</v>
      </c>
      <c r="AO21" s="136"/>
      <c r="AP21" s="136"/>
      <c r="AQ21" s="136"/>
      <c r="AR21" s="136"/>
      <c r="AS21" s="135"/>
      <c r="AT21" s="136"/>
      <c r="AU21" s="136"/>
      <c r="AV21" s="137"/>
      <c r="AW21" s="136"/>
      <c r="AX21" s="136"/>
      <c r="AY21" s="136"/>
      <c r="AZ21" s="137"/>
      <c r="BA21" s="135" t="s">
        <v>131</v>
      </c>
      <c r="BB21" s="136"/>
      <c r="BC21" s="136"/>
      <c r="BD21" s="136"/>
      <c r="BE21" s="136"/>
      <c r="BF21" s="136"/>
      <c r="BG21" s="136"/>
      <c r="BH21" s="136"/>
      <c r="BI21" s="136"/>
      <c r="BJ21" s="136"/>
      <c r="BK21" s="136"/>
      <c r="BL21" s="136"/>
      <c r="BM21" s="136"/>
      <c r="BN21" s="137"/>
    </row>
    <row r="22" spans="1:66" ht="15.75" customHeight="1">
      <c r="A22" s="488">
        <v>1</v>
      </c>
      <c r="B22" s="333" t="str">
        <f>IF('[1]旅行命令上申書（国外旅行'!B22:F23="","",'[1]旅行命令上申書（国外旅行'!B22:F23)</f>
        <v/>
      </c>
      <c r="C22" s="334"/>
      <c r="D22" s="334"/>
      <c r="E22" s="334"/>
      <c r="F22" s="335"/>
      <c r="G22" s="496" t="str">
        <f>IF('[1]旅行命令上申書（国外旅行'!G22:K22="","",'[1]旅行命令上申書（国外旅行'!G22:K22)</f>
        <v/>
      </c>
      <c r="H22" s="497"/>
      <c r="I22" s="497"/>
      <c r="J22" s="497"/>
      <c r="K22" s="498"/>
      <c r="L22" s="282" t="str">
        <f>IF('[1]旅行命令上申書（国外旅行'!L22:O25="","",'[1]旅行命令上申書（国外旅行'!L22:O25)</f>
        <v/>
      </c>
      <c r="M22" s="283"/>
      <c r="N22" s="283"/>
      <c r="O22" s="499"/>
      <c r="P22" s="282" t="str">
        <f>IF('[1]旅行命令上申書（国外旅行'!P22:S23="","",'[1]旅行命令上申書（国外旅行'!P22:S23)</f>
        <v/>
      </c>
      <c r="Q22" s="283"/>
      <c r="R22" s="283"/>
      <c r="S22" s="499"/>
      <c r="T22" s="507" t="str">
        <f>IF('[1]旅行命令上申書（国外旅行'!T22:AG22="","",'[1]旅行命令上申書（国外旅行'!T22:AG22)</f>
        <v/>
      </c>
      <c r="U22" s="508"/>
      <c r="V22" s="508"/>
      <c r="W22" s="508"/>
      <c r="X22" s="508"/>
      <c r="Y22" s="508"/>
      <c r="Z22" s="508"/>
      <c r="AA22" s="508"/>
      <c r="AB22" s="508"/>
      <c r="AC22" s="508"/>
      <c r="AD22" s="508"/>
      <c r="AE22" s="508"/>
      <c r="AF22" s="508"/>
      <c r="AG22" s="509"/>
      <c r="AH22" s="488">
        <v>4</v>
      </c>
      <c r="AI22" s="333" t="str">
        <f>IF('[1]旅行命令上申書（国外旅行'!AI22:AM23="","",'[1]旅行命令上申書（国外旅行'!AI22:AM23)</f>
        <v/>
      </c>
      <c r="AJ22" s="334"/>
      <c r="AK22" s="334"/>
      <c r="AL22" s="334"/>
      <c r="AM22" s="335"/>
      <c r="AN22" s="496" t="str">
        <f>IF('[1]旅行命令上申書（国外旅行'!AN22:AR22="","",'[1]旅行命令上申書（国外旅行'!AN22:AR22)</f>
        <v/>
      </c>
      <c r="AO22" s="497"/>
      <c r="AP22" s="497"/>
      <c r="AQ22" s="497"/>
      <c r="AR22" s="498"/>
      <c r="AS22" s="282" t="str">
        <f>IF('[1]旅行命令上申書（国外旅行'!AS22:AV25="","",'[1]旅行命令上申書（国外旅行'!AS22:AV25)</f>
        <v/>
      </c>
      <c r="AT22" s="283"/>
      <c r="AU22" s="283"/>
      <c r="AV22" s="499"/>
      <c r="AW22" s="282" t="str">
        <f>IF('[1]旅行命令上申書（国外旅行'!AW22:AZ23="","",'[1]旅行命令上申書（国外旅行'!AW22:AZ23)</f>
        <v/>
      </c>
      <c r="AX22" s="283"/>
      <c r="AY22" s="283"/>
      <c r="AZ22" s="499"/>
      <c r="BA22" s="507" t="str">
        <f>IF('[1]旅行命令上申書（国外旅行'!BA22:BN22="","",'[1]旅行命令上申書（国外旅行'!BA22:BN22)</f>
        <v/>
      </c>
      <c r="BB22" s="508"/>
      <c r="BC22" s="508"/>
      <c r="BD22" s="508"/>
      <c r="BE22" s="508"/>
      <c r="BF22" s="508"/>
      <c r="BG22" s="508"/>
      <c r="BH22" s="508"/>
      <c r="BI22" s="508"/>
      <c r="BJ22" s="508"/>
      <c r="BK22" s="508"/>
      <c r="BL22" s="508"/>
      <c r="BM22" s="508"/>
      <c r="BN22" s="509"/>
    </row>
    <row r="23" spans="1:66" ht="15.75" customHeight="1">
      <c r="A23" s="492"/>
      <c r="B23" s="493"/>
      <c r="C23" s="494"/>
      <c r="D23" s="494"/>
      <c r="E23" s="494"/>
      <c r="F23" s="495"/>
      <c r="G23" s="510" t="str">
        <f>IF('[1]旅行命令上申書（国外旅行'!G23:K23="","",'[1]旅行命令上申書（国外旅行'!G23:K23)</f>
        <v/>
      </c>
      <c r="H23" s="511"/>
      <c r="I23" s="511"/>
      <c r="J23" s="511"/>
      <c r="K23" s="512"/>
      <c r="L23" s="500"/>
      <c r="M23" s="501"/>
      <c r="N23" s="501"/>
      <c r="O23" s="502"/>
      <c r="P23" s="504"/>
      <c r="Q23" s="505"/>
      <c r="R23" s="505"/>
      <c r="S23" s="506"/>
      <c r="T23" s="513" t="str">
        <f>IF('[1]旅行命令上申書（国外旅行'!T23:AG23="","",'[1]旅行命令上申書（国外旅行'!T23:AG23)</f>
        <v/>
      </c>
      <c r="U23" s="514"/>
      <c r="V23" s="514"/>
      <c r="W23" s="514"/>
      <c r="X23" s="514"/>
      <c r="Y23" s="514"/>
      <c r="Z23" s="514"/>
      <c r="AA23" s="514"/>
      <c r="AB23" s="514"/>
      <c r="AC23" s="514"/>
      <c r="AD23" s="514"/>
      <c r="AE23" s="514"/>
      <c r="AF23" s="514"/>
      <c r="AG23" s="515"/>
      <c r="AH23" s="492"/>
      <c r="AI23" s="493"/>
      <c r="AJ23" s="494"/>
      <c r="AK23" s="494"/>
      <c r="AL23" s="494"/>
      <c r="AM23" s="495"/>
      <c r="AN23" s="510" t="str">
        <f>IF('[1]旅行命令上申書（国外旅行'!AN23:AR23="","",'[1]旅行命令上申書（国外旅行'!AN23:AR23)</f>
        <v/>
      </c>
      <c r="AO23" s="511"/>
      <c r="AP23" s="511"/>
      <c r="AQ23" s="511"/>
      <c r="AR23" s="512"/>
      <c r="AS23" s="500"/>
      <c r="AT23" s="501"/>
      <c r="AU23" s="501"/>
      <c r="AV23" s="502"/>
      <c r="AW23" s="504"/>
      <c r="AX23" s="505"/>
      <c r="AY23" s="505"/>
      <c r="AZ23" s="506"/>
      <c r="BA23" s="513" t="str">
        <f>IF('[1]旅行命令上申書（国外旅行'!BA23:BN23="","",'[1]旅行命令上申書（国外旅行'!BA23:BN23)</f>
        <v/>
      </c>
      <c r="BB23" s="514"/>
      <c r="BC23" s="514"/>
      <c r="BD23" s="514"/>
      <c r="BE23" s="514"/>
      <c r="BF23" s="514"/>
      <c r="BG23" s="514"/>
      <c r="BH23" s="514"/>
      <c r="BI23" s="514"/>
      <c r="BJ23" s="514"/>
      <c r="BK23" s="514"/>
      <c r="BL23" s="514"/>
      <c r="BM23" s="514"/>
      <c r="BN23" s="515"/>
    </row>
    <row r="24" spans="1:66" ht="15.75" customHeight="1">
      <c r="A24" s="492"/>
      <c r="B24" s="516" t="str">
        <f>IF('[1]旅行命令上申書（国外旅行'!B24:F25="","",'[1]旅行命令上申書（国外旅行'!B24:F25)</f>
        <v/>
      </c>
      <c r="C24" s="517"/>
      <c r="D24" s="517"/>
      <c r="E24" s="517"/>
      <c r="F24" s="518"/>
      <c r="G24" s="504" t="str">
        <f>IF('[1]旅行命令上申書（国外旅行'!G24:K24="","",'[1]旅行命令上申書（国外旅行'!G24:K24)</f>
        <v/>
      </c>
      <c r="H24" s="505"/>
      <c r="I24" s="505"/>
      <c r="J24" s="505"/>
      <c r="K24" s="505"/>
      <c r="L24" s="500"/>
      <c r="M24" s="501"/>
      <c r="N24" s="501"/>
      <c r="O24" s="502"/>
      <c r="P24" s="501" t="str">
        <f>IF('[1]旅行命令上申書（国外旅行'!P24:S25="","",'[1]旅行命令上申書（国外旅行'!P24:S25)</f>
        <v/>
      </c>
      <c r="Q24" s="501"/>
      <c r="R24" s="501"/>
      <c r="S24" s="502"/>
      <c r="T24" s="521" t="str">
        <f>IF('[1]旅行命令上申書（国外旅行'!T24:AG24="","",'[1]旅行命令上申書（国外旅行'!T24:AG24)</f>
        <v/>
      </c>
      <c r="U24" s="522"/>
      <c r="V24" s="522"/>
      <c r="W24" s="522"/>
      <c r="X24" s="522"/>
      <c r="Y24" s="522"/>
      <c r="Z24" s="522"/>
      <c r="AA24" s="522"/>
      <c r="AB24" s="522"/>
      <c r="AC24" s="522"/>
      <c r="AD24" s="522"/>
      <c r="AE24" s="522"/>
      <c r="AF24" s="522"/>
      <c r="AG24" s="523"/>
      <c r="AH24" s="492"/>
      <c r="AI24" s="516" t="str">
        <f>IF('[1]旅行命令上申書（国外旅行'!AI24:AM25="","",'[1]旅行命令上申書（国外旅行'!AI24:AM25)</f>
        <v/>
      </c>
      <c r="AJ24" s="517"/>
      <c r="AK24" s="517"/>
      <c r="AL24" s="517"/>
      <c r="AM24" s="518"/>
      <c r="AN24" s="504" t="str">
        <f>IF('[1]旅行命令上申書（国外旅行'!AN24:AR24="","",'[1]旅行命令上申書（国外旅行'!AN24:AR24)</f>
        <v/>
      </c>
      <c r="AO24" s="505"/>
      <c r="AP24" s="505"/>
      <c r="AQ24" s="505"/>
      <c r="AR24" s="505"/>
      <c r="AS24" s="500"/>
      <c r="AT24" s="501"/>
      <c r="AU24" s="501"/>
      <c r="AV24" s="502"/>
      <c r="AW24" s="501" t="str">
        <f>IF('[1]旅行命令上申書（国外旅行'!AW24:AZ25="","",'[1]旅行命令上申書（国外旅行'!AW24:AZ25)</f>
        <v/>
      </c>
      <c r="AX24" s="501"/>
      <c r="AY24" s="501"/>
      <c r="AZ24" s="502"/>
      <c r="BA24" s="521" t="str">
        <f>IF('[1]旅行命令上申書（国外旅行'!BA24:BN24="","",'[1]旅行命令上申書（国外旅行'!BA24:BN24)</f>
        <v/>
      </c>
      <c r="BB24" s="522"/>
      <c r="BC24" s="522"/>
      <c r="BD24" s="522"/>
      <c r="BE24" s="522"/>
      <c r="BF24" s="522"/>
      <c r="BG24" s="522"/>
      <c r="BH24" s="522"/>
      <c r="BI24" s="522"/>
      <c r="BJ24" s="522"/>
      <c r="BK24" s="522"/>
      <c r="BL24" s="522"/>
      <c r="BM24" s="522"/>
      <c r="BN24" s="523"/>
    </row>
    <row r="25" spans="1:66" ht="15.75" customHeight="1">
      <c r="A25" s="489"/>
      <c r="B25" s="336"/>
      <c r="C25" s="337"/>
      <c r="D25" s="337"/>
      <c r="E25" s="337"/>
      <c r="F25" s="338"/>
      <c r="G25" s="519" t="str">
        <f>IF('[1]旅行命令上申書（国外旅行'!G25:K25="","",'[1]旅行命令上申書（国外旅行'!G25:K25)</f>
        <v/>
      </c>
      <c r="H25" s="520"/>
      <c r="I25" s="520"/>
      <c r="J25" s="520"/>
      <c r="K25" s="520"/>
      <c r="L25" s="285"/>
      <c r="M25" s="286"/>
      <c r="N25" s="286"/>
      <c r="O25" s="503"/>
      <c r="P25" s="286"/>
      <c r="Q25" s="286"/>
      <c r="R25" s="286"/>
      <c r="S25" s="503"/>
      <c r="T25" s="144" t="str">
        <f>IF('[1]旅行命令上申書（国外旅行'!T25:AG25="","",'[1]旅行命令上申書（国外旅行'!T25:AG25)</f>
        <v/>
      </c>
      <c r="U25" s="145"/>
      <c r="V25" s="145"/>
      <c r="W25" s="145"/>
      <c r="X25" s="145"/>
      <c r="Y25" s="145"/>
      <c r="Z25" s="145"/>
      <c r="AA25" s="145"/>
      <c r="AB25" s="145"/>
      <c r="AC25" s="145"/>
      <c r="AD25" s="145"/>
      <c r="AE25" s="145"/>
      <c r="AF25" s="145"/>
      <c r="AG25" s="146"/>
      <c r="AH25" s="489"/>
      <c r="AI25" s="336"/>
      <c r="AJ25" s="337"/>
      <c r="AK25" s="337"/>
      <c r="AL25" s="337"/>
      <c r="AM25" s="338"/>
      <c r="AN25" s="519" t="str">
        <f>IF('[1]旅行命令上申書（国外旅行'!AN25:AR25="","",'[1]旅行命令上申書（国外旅行'!AN25:AR25)</f>
        <v/>
      </c>
      <c r="AO25" s="520"/>
      <c r="AP25" s="520"/>
      <c r="AQ25" s="520"/>
      <c r="AR25" s="520"/>
      <c r="AS25" s="285"/>
      <c r="AT25" s="286"/>
      <c r="AU25" s="286"/>
      <c r="AV25" s="503"/>
      <c r="AW25" s="286"/>
      <c r="AX25" s="286"/>
      <c r="AY25" s="286"/>
      <c r="AZ25" s="503"/>
      <c r="BA25" s="144" t="str">
        <f>IF('[1]旅行命令上申書（国外旅行'!BA25:BN25="","",'[1]旅行命令上申書（国外旅行'!BA25:BN25)</f>
        <v/>
      </c>
      <c r="BB25" s="145"/>
      <c r="BC25" s="145"/>
      <c r="BD25" s="145"/>
      <c r="BE25" s="145"/>
      <c r="BF25" s="145"/>
      <c r="BG25" s="145"/>
      <c r="BH25" s="145"/>
      <c r="BI25" s="145"/>
      <c r="BJ25" s="145"/>
      <c r="BK25" s="145"/>
      <c r="BL25" s="145"/>
      <c r="BM25" s="145"/>
      <c r="BN25" s="146"/>
    </row>
    <row r="26" spans="1:66" ht="15.75" customHeight="1">
      <c r="A26" s="488">
        <v>2</v>
      </c>
      <c r="B26" s="333" t="str">
        <f>IF('[1]旅行命令上申書（国外旅行'!B26:F27="","",'[1]旅行命令上申書（国外旅行'!B26:F27)</f>
        <v/>
      </c>
      <c r="C26" s="334"/>
      <c r="D26" s="334"/>
      <c r="E26" s="334"/>
      <c r="F26" s="335"/>
      <c r="G26" s="496" t="str">
        <f>IF('[1]旅行命令上申書（国外旅行'!G26:K26="","",'[1]旅行命令上申書（国外旅行'!G26:K26)</f>
        <v/>
      </c>
      <c r="H26" s="497"/>
      <c r="I26" s="497"/>
      <c r="J26" s="497"/>
      <c r="K26" s="498"/>
      <c r="L26" s="282" t="str">
        <f>IF('[1]旅行命令上申書（国外旅行'!L26:O29="","",'[1]旅行命令上申書（国外旅行'!L26:O29)</f>
        <v/>
      </c>
      <c r="M26" s="283"/>
      <c r="N26" s="283"/>
      <c r="O26" s="499"/>
      <c r="P26" s="282" t="str">
        <f>IF('[1]旅行命令上申書（国外旅行'!P26:S27="","",'[1]旅行命令上申書（国外旅行'!P26:S27)</f>
        <v/>
      </c>
      <c r="Q26" s="283"/>
      <c r="R26" s="283"/>
      <c r="S26" s="499"/>
      <c r="T26" s="507" t="str">
        <f>IF('[1]旅行命令上申書（国外旅行'!T26:AG26="","",'[1]旅行命令上申書（国外旅行'!T26:AG26)</f>
        <v/>
      </c>
      <c r="U26" s="508"/>
      <c r="V26" s="508"/>
      <c r="W26" s="508"/>
      <c r="X26" s="508"/>
      <c r="Y26" s="508"/>
      <c r="Z26" s="508"/>
      <c r="AA26" s="508"/>
      <c r="AB26" s="508"/>
      <c r="AC26" s="508"/>
      <c r="AD26" s="508"/>
      <c r="AE26" s="508"/>
      <c r="AF26" s="508"/>
      <c r="AG26" s="509"/>
      <c r="AH26" s="488">
        <v>5</v>
      </c>
      <c r="AI26" s="333" t="str">
        <f>IF('[1]旅行命令上申書（国外旅行'!AI26:AM27="","",'[1]旅行命令上申書（国外旅行'!AI26:AM27)</f>
        <v/>
      </c>
      <c r="AJ26" s="334"/>
      <c r="AK26" s="334"/>
      <c r="AL26" s="334"/>
      <c r="AM26" s="335"/>
      <c r="AN26" s="496" t="str">
        <f>IF('[1]旅行命令上申書（国外旅行'!AN26:AR26="","",'[1]旅行命令上申書（国外旅行'!AN26:AR26)</f>
        <v/>
      </c>
      <c r="AO26" s="497"/>
      <c r="AP26" s="497"/>
      <c r="AQ26" s="497"/>
      <c r="AR26" s="498"/>
      <c r="AS26" s="282" t="str">
        <f>IF('[1]旅行命令上申書（国外旅行'!AS26:AV29="","",'[1]旅行命令上申書（国外旅行'!AS26:AV29)</f>
        <v/>
      </c>
      <c r="AT26" s="283"/>
      <c r="AU26" s="283"/>
      <c r="AV26" s="499"/>
      <c r="AW26" s="282" t="str">
        <f>IF('[1]旅行命令上申書（国外旅行'!AW26:AZ27="","",'[1]旅行命令上申書（国外旅行'!AW26:AZ27)</f>
        <v/>
      </c>
      <c r="AX26" s="283"/>
      <c r="AY26" s="283"/>
      <c r="AZ26" s="499"/>
      <c r="BA26" s="507" t="str">
        <f>IF('[1]旅行命令上申書（国外旅行'!BA26:BN26="","",'[1]旅行命令上申書（国外旅行'!BA26:BN26)</f>
        <v/>
      </c>
      <c r="BB26" s="508"/>
      <c r="BC26" s="508"/>
      <c r="BD26" s="508"/>
      <c r="BE26" s="508"/>
      <c r="BF26" s="508"/>
      <c r="BG26" s="508"/>
      <c r="BH26" s="508"/>
      <c r="BI26" s="508"/>
      <c r="BJ26" s="508"/>
      <c r="BK26" s="508"/>
      <c r="BL26" s="508"/>
      <c r="BM26" s="508"/>
      <c r="BN26" s="509"/>
    </row>
    <row r="27" spans="1:66" ht="15.75" customHeight="1">
      <c r="A27" s="492"/>
      <c r="B27" s="493"/>
      <c r="C27" s="494"/>
      <c r="D27" s="494"/>
      <c r="E27" s="494"/>
      <c r="F27" s="495"/>
      <c r="G27" s="510" t="str">
        <f>IF('[1]旅行命令上申書（国外旅行'!G27:K27="","",'[1]旅行命令上申書（国外旅行'!G27:K27)</f>
        <v/>
      </c>
      <c r="H27" s="511"/>
      <c r="I27" s="511"/>
      <c r="J27" s="511"/>
      <c r="K27" s="512"/>
      <c r="L27" s="500"/>
      <c r="M27" s="501"/>
      <c r="N27" s="501"/>
      <c r="O27" s="502"/>
      <c r="P27" s="504"/>
      <c r="Q27" s="505"/>
      <c r="R27" s="505"/>
      <c r="S27" s="506"/>
      <c r="T27" s="513" t="str">
        <f>IF('[1]旅行命令上申書（国外旅行'!T27:AG27="","",'[1]旅行命令上申書（国外旅行'!T27:AG27)</f>
        <v/>
      </c>
      <c r="U27" s="514"/>
      <c r="V27" s="514"/>
      <c r="W27" s="514"/>
      <c r="X27" s="514"/>
      <c r="Y27" s="514"/>
      <c r="Z27" s="514"/>
      <c r="AA27" s="514"/>
      <c r="AB27" s="514"/>
      <c r="AC27" s="514"/>
      <c r="AD27" s="514"/>
      <c r="AE27" s="514"/>
      <c r="AF27" s="514"/>
      <c r="AG27" s="515"/>
      <c r="AH27" s="492"/>
      <c r="AI27" s="493"/>
      <c r="AJ27" s="494"/>
      <c r="AK27" s="494"/>
      <c r="AL27" s="494"/>
      <c r="AM27" s="495"/>
      <c r="AN27" s="510" t="str">
        <f>IF('[1]旅行命令上申書（国外旅行'!AN27:AR27="","",'[1]旅行命令上申書（国外旅行'!AN27:AR27)</f>
        <v/>
      </c>
      <c r="AO27" s="511"/>
      <c r="AP27" s="511"/>
      <c r="AQ27" s="511"/>
      <c r="AR27" s="512"/>
      <c r="AS27" s="500"/>
      <c r="AT27" s="501"/>
      <c r="AU27" s="501"/>
      <c r="AV27" s="502"/>
      <c r="AW27" s="504"/>
      <c r="AX27" s="505"/>
      <c r="AY27" s="505"/>
      <c r="AZ27" s="506"/>
      <c r="BA27" s="513" t="str">
        <f>IF('[1]旅行命令上申書（国外旅行'!BA27:BN27="","",'[1]旅行命令上申書（国外旅行'!BA27:BN27)</f>
        <v/>
      </c>
      <c r="BB27" s="514"/>
      <c r="BC27" s="514"/>
      <c r="BD27" s="514"/>
      <c r="BE27" s="514"/>
      <c r="BF27" s="514"/>
      <c r="BG27" s="514"/>
      <c r="BH27" s="514"/>
      <c r="BI27" s="514"/>
      <c r="BJ27" s="514"/>
      <c r="BK27" s="514"/>
      <c r="BL27" s="514"/>
      <c r="BM27" s="514"/>
      <c r="BN27" s="515"/>
    </row>
    <row r="28" spans="1:66" ht="15.75" customHeight="1">
      <c r="A28" s="492"/>
      <c r="B28" s="516" t="str">
        <f>IF('[1]旅行命令上申書（国外旅行'!B28:F29="","",'[1]旅行命令上申書（国外旅行'!B28:F29)</f>
        <v/>
      </c>
      <c r="C28" s="517"/>
      <c r="D28" s="517"/>
      <c r="E28" s="517"/>
      <c r="F28" s="518"/>
      <c r="G28" s="504" t="str">
        <f>IF('[1]旅行命令上申書（国外旅行'!G28:K28="","",'[1]旅行命令上申書（国外旅行'!G28:K28)</f>
        <v/>
      </c>
      <c r="H28" s="505"/>
      <c r="I28" s="505"/>
      <c r="J28" s="505"/>
      <c r="K28" s="505"/>
      <c r="L28" s="500"/>
      <c r="M28" s="501"/>
      <c r="N28" s="501"/>
      <c r="O28" s="502"/>
      <c r="P28" s="501" t="str">
        <f>IF('[1]旅行命令上申書（国外旅行'!P28:S29="","",'[1]旅行命令上申書（国外旅行'!P28:S29)</f>
        <v/>
      </c>
      <c r="Q28" s="501"/>
      <c r="R28" s="501"/>
      <c r="S28" s="502"/>
      <c r="T28" s="521" t="str">
        <f>IF('[1]旅行命令上申書（国外旅行'!T28:AG28="","",'[1]旅行命令上申書（国外旅行'!T28:AG28)</f>
        <v/>
      </c>
      <c r="U28" s="522"/>
      <c r="V28" s="522"/>
      <c r="W28" s="522"/>
      <c r="X28" s="522"/>
      <c r="Y28" s="522"/>
      <c r="Z28" s="522"/>
      <c r="AA28" s="522"/>
      <c r="AB28" s="522"/>
      <c r="AC28" s="522"/>
      <c r="AD28" s="522"/>
      <c r="AE28" s="522"/>
      <c r="AF28" s="522"/>
      <c r="AG28" s="523"/>
      <c r="AH28" s="492"/>
      <c r="AI28" s="516" t="str">
        <f>IF('[1]旅行命令上申書（国外旅行'!AI28:AM29="","",'[1]旅行命令上申書（国外旅行'!AI28:AM29)</f>
        <v/>
      </c>
      <c r="AJ28" s="517"/>
      <c r="AK28" s="517"/>
      <c r="AL28" s="517"/>
      <c r="AM28" s="518"/>
      <c r="AN28" s="504" t="str">
        <f>IF('[1]旅行命令上申書（国外旅行'!AN28:AR28="","",'[1]旅行命令上申書（国外旅行'!AN28:AR28)</f>
        <v/>
      </c>
      <c r="AO28" s="505"/>
      <c r="AP28" s="505"/>
      <c r="AQ28" s="505"/>
      <c r="AR28" s="505"/>
      <c r="AS28" s="500"/>
      <c r="AT28" s="501"/>
      <c r="AU28" s="501"/>
      <c r="AV28" s="502"/>
      <c r="AW28" s="501" t="str">
        <f>IF('[1]旅行命令上申書（国外旅行'!AW28:AZ29="","",'[1]旅行命令上申書（国外旅行'!AW28:AZ29)</f>
        <v/>
      </c>
      <c r="AX28" s="501"/>
      <c r="AY28" s="501"/>
      <c r="AZ28" s="502"/>
      <c r="BA28" s="521" t="str">
        <f>IF('[1]旅行命令上申書（国外旅行'!BA28:BN28="","",'[1]旅行命令上申書（国外旅行'!BA28:BN28)</f>
        <v/>
      </c>
      <c r="BB28" s="522"/>
      <c r="BC28" s="522"/>
      <c r="BD28" s="522"/>
      <c r="BE28" s="522"/>
      <c r="BF28" s="522"/>
      <c r="BG28" s="522"/>
      <c r="BH28" s="522"/>
      <c r="BI28" s="522"/>
      <c r="BJ28" s="522"/>
      <c r="BK28" s="522"/>
      <c r="BL28" s="522"/>
      <c r="BM28" s="522"/>
      <c r="BN28" s="523"/>
    </row>
    <row r="29" spans="1:66" ht="15.75" customHeight="1">
      <c r="A29" s="489"/>
      <c r="B29" s="336"/>
      <c r="C29" s="337"/>
      <c r="D29" s="337"/>
      <c r="E29" s="337"/>
      <c r="F29" s="338"/>
      <c r="G29" s="519" t="str">
        <f>IF('[1]旅行命令上申書（国外旅行'!G29:K29="","",'[1]旅行命令上申書（国外旅行'!G29:K29)</f>
        <v/>
      </c>
      <c r="H29" s="520"/>
      <c r="I29" s="520"/>
      <c r="J29" s="520"/>
      <c r="K29" s="520"/>
      <c r="L29" s="285"/>
      <c r="M29" s="286"/>
      <c r="N29" s="286"/>
      <c r="O29" s="503"/>
      <c r="P29" s="286"/>
      <c r="Q29" s="286"/>
      <c r="R29" s="286"/>
      <c r="S29" s="503"/>
      <c r="T29" s="144" t="str">
        <f>IF('[1]旅行命令上申書（国外旅行'!T29:AG29="","",'[1]旅行命令上申書（国外旅行'!T29:AG29)</f>
        <v/>
      </c>
      <c r="U29" s="145"/>
      <c r="V29" s="145"/>
      <c r="W29" s="145"/>
      <c r="X29" s="145"/>
      <c r="Y29" s="145"/>
      <c r="Z29" s="145"/>
      <c r="AA29" s="145"/>
      <c r="AB29" s="145"/>
      <c r="AC29" s="145"/>
      <c r="AD29" s="145"/>
      <c r="AE29" s="145"/>
      <c r="AF29" s="145"/>
      <c r="AG29" s="146"/>
      <c r="AH29" s="489"/>
      <c r="AI29" s="336"/>
      <c r="AJ29" s="337"/>
      <c r="AK29" s="337"/>
      <c r="AL29" s="337"/>
      <c r="AM29" s="338"/>
      <c r="AN29" s="519" t="str">
        <f>IF('[1]旅行命令上申書（国外旅行'!AN29:AR29="","",'[1]旅行命令上申書（国外旅行'!AN29:AR29)</f>
        <v/>
      </c>
      <c r="AO29" s="520"/>
      <c r="AP29" s="520"/>
      <c r="AQ29" s="520"/>
      <c r="AR29" s="520"/>
      <c r="AS29" s="285"/>
      <c r="AT29" s="286"/>
      <c r="AU29" s="286"/>
      <c r="AV29" s="503"/>
      <c r="AW29" s="286"/>
      <c r="AX29" s="286"/>
      <c r="AY29" s="286"/>
      <c r="AZ29" s="503"/>
      <c r="BA29" s="144" t="str">
        <f>IF('[1]旅行命令上申書（国外旅行'!BA29:BN29="","",'[1]旅行命令上申書（国外旅行'!BA29:BN29)</f>
        <v/>
      </c>
      <c r="BB29" s="145"/>
      <c r="BC29" s="145"/>
      <c r="BD29" s="145"/>
      <c r="BE29" s="145"/>
      <c r="BF29" s="145"/>
      <c r="BG29" s="145"/>
      <c r="BH29" s="145"/>
      <c r="BI29" s="145"/>
      <c r="BJ29" s="145"/>
      <c r="BK29" s="145"/>
      <c r="BL29" s="145"/>
      <c r="BM29" s="145"/>
      <c r="BN29" s="146"/>
    </row>
    <row r="30" spans="1:66" ht="15.75" customHeight="1">
      <c r="A30" s="488">
        <v>3</v>
      </c>
      <c r="B30" s="333" t="str">
        <f>IF('[1]旅行命令上申書（国外旅行'!B30:F31="","",'[1]旅行命令上申書（国外旅行'!B30:F31)</f>
        <v/>
      </c>
      <c r="C30" s="334"/>
      <c r="D30" s="334"/>
      <c r="E30" s="334"/>
      <c r="F30" s="335"/>
      <c r="G30" s="496" t="str">
        <f>IF('[1]旅行命令上申書（国外旅行'!G30:K30="","",'[1]旅行命令上申書（国外旅行'!G30:K30)</f>
        <v/>
      </c>
      <c r="H30" s="497"/>
      <c r="I30" s="497"/>
      <c r="J30" s="497"/>
      <c r="K30" s="498"/>
      <c r="L30" s="282" t="str">
        <f>IF('[1]旅行命令上申書（国外旅行'!L30:O33="","",'[1]旅行命令上申書（国外旅行'!L30:O33)</f>
        <v/>
      </c>
      <c r="M30" s="283"/>
      <c r="N30" s="283"/>
      <c r="O30" s="499"/>
      <c r="P30" s="282" t="str">
        <f>IF('[1]旅行命令上申書（国外旅行'!P30:S31="","",'[1]旅行命令上申書（国外旅行'!P30:S31)</f>
        <v/>
      </c>
      <c r="Q30" s="283"/>
      <c r="R30" s="283"/>
      <c r="S30" s="499"/>
      <c r="T30" s="507" t="str">
        <f>IF('[1]旅行命令上申書（国外旅行'!T30:AG30="","",'[1]旅行命令上申書（国外旅行'!T30:AG30)</f>
        <v/>
      </c>
      <c r="U30" s="508"/>
      <c r="V30" s="508"/>
      <c r="W30" s="508"/>
      <c r="X30" s="508"/>
      <c r="Y30" s="508"/>
      <c r="Z30" s="508"/>
      <c r="AA30" s="508"/>
      <c r="AB30" s="508"/>
      <c r="AC30" s="508"/>
      <c r="AD30" s="508"/>
      <c r="AE30" s="508"/>
      <c r="AF30" s="508"/>
      <c r="AG30" s="509"/>
      <c r="AH30" s="488">
        <v>6</v>
      </c>
      <c r="AI30" s="333" t="str">
        <f>IF('[1]旅行命令上申書（国外旅行'!AI30:AM31="","",'[1]旅行命令上申書（国外旅行'!AI30:AM31)</f>
        <v/>
      </c>
      <c r="AJ30" s="334"/>
      <c r="AK30" s="334"/>
      <c r="AL30" s="334"/>
      <c r="AM30" s="335"/>
      <c r="AN30" s="496" t="str">
        <f>IF('[1]旅行命令上申書（国外旅行'!AN30:AR30="","",'[1]旅行命令上申書（国外旅行'!AN30:AR30)</f>
        <v/>
      </c>
      <c r="AO30" s="497"/>
      <c r="AP30" s="497"/>
      <c r="AQ30" s="497"/>
      <c r="AR30" s="498"/>
      <c r="AS30" s="282" t="str">
        <f>IF('[1]旅行命令上申書（国外旅行'!AS30:AV33="","",'[1]旅行命令上申書（国外旅行'!AS30:AV33)</f>
        <v/>
      </c>
      <c r="AT30" s="283"/>
      <c r="AU30" s="283"/>
      <c r="AV30" s="499"/>
      <c r="AW30" s="282" t="str">
        <f>IF('[1]旅行命令上申書（国外旅行'!AW30:AZ31="","",'[1]旅行命令上申書（国外旅行'!AW30:AZ31)</f>
        <v/>
      </c>
      <c r="AX30" s="283"/>
      <c r="AY30" s="283"/>
      <c r="AZ30" s="499"/>
      <c r="BA30" s="507" t="str">
        <f>IF('[1]旅行命令上申書（国外旅行'!BA30:BN30="","",'[1]旅行命令上申書（国外旅行'!BA30:BN30)</f>
        <v/>
      </c>
      <c r="BB30" s="508"/>
      <c r="BC30" s="508"/>
      <c r="BD30" s="508"/>
      <c r="BE30" s="508"/>
      <c r="BF30" s="508"/>
      <c r="BG30" s="508"/>
      <c r="BH30" s="508"/>
      <c r="BI30" s="508"/>
      <c r="BJ30" s="508"/>
      <c r="BK30" s="508"/>
      <c r="BL30" s="508"/>
      <c r="BM30" s="508"/>
      <c r="BN30" s="509"/>
    </row>
    <row r="31" spans="1:66" ht="15.75" customHeight="1">
      <c r="A31" s="492"/>
      <c r="B31" s="493"/>
      <c r="C31" s="494"/>
      <c r="D31" s="494"/>
      <c r="E31" s="494"/>
      <c r="F31" s="495"/>
      <c r="G31" s="510" t="str">
        <f>IF('[1]旅行命令上申書（国外旅行'!G31:K31="","",'[1]旅行命令上申書（国外旅行'!G31:K31)</f>
        <v/>
      </c>
      <c r="H31" s="511"/>
      <c r="I31" s="511"/>
      <c r="J31" s="511"/>
      <c r="K31" s="512"/>
      <c r="L31" s="500"/>
      <c r="M31" s="501"/>
      <c r="N31" s="501"/>
      <c r="O31" s="502"/>
      <c r="P31" s="504"/>
      <c r="Q31" s="505"/>
      <c r="R31" s="505"/>
      <c r="S31" s="506"/>
      <c r="T31" s="513" t="str">
        <f>IF('[1]旅行命令上申書（国外旅行'!T31:AG31="","",'[1]旅行命令上申書（国外旅行'!T31:AG31)</f>
        <v/>
      </c>
      <c r="U31" s="514"/>
      <c r="V31" s="514"/>
      <c r="W31" s="514"/>
      <c r="X31" s="514"/>
      <c r="Y31" s="514"/>
      <c r="Z31" s="514"/>
      <c r="AA31" s="514"/>
      <c r="AB31" s="514"/>
      <c r="AC31" s="514"/>
      <c r="AD31" s="514"/>
      <c r="AE31" s="514"/>
      <c r="AF31" s="514"/>
      <c r="AG31" s="515"/>
      <c r="AH31" s="492"/>
      <c r="AI31" s="493"/>
      <c r="AJ31" s="494"/>
      <c r="AK31" s="494"/>
      <c r="AL31" s="494"/>
      <c r="AM31" s="495"/>
      <c r="AN31" s="510" t="str">
        <f>IF('[1]旅行命令上申書（国外旅行'!AN31:AR31="","",'[1]旅行命令上申書（国外旅行'!AN31:AR31)</f>
        <v/>
      </c>
      <c r="AO31" s="511"/>
      <c r="AP31" s="511"/>
      <c r="AQ31" s="511"/>
      <c r="AR31" s="512"/>
      <c r="AS31" s="500"/>
      <c r="AT31" s="501"/>
      <c r="AU31" s="501"/>
      <c r="AV31" s="502"/>
      <c r="AW31" s="504"/>
      <c r="AX31" s="505"/>
      <c r="AY31" s="505"/>
      <c r="AZ31" s="506"/>
      <c r="BA31" s="513" t="str">
        <f>IF('[1]旅行命令上申書（国外旅行'!BA31:BN31="","",'[1]旅行命令上申書（国外旅行'!BA31:BN31)</f>
        <v/>
      </c>
      <c r="BB31" s="514"/>
      <c r="BC31" s="514"/>
      <c r="BD31" s="514"/>
      <c r="BE31" s="514"/>
      <c r="BF31" s="514"/>
      <c r="BG31" s="514"/>
      <c r="BH31" s="514"/>
      <c r="BI31" s="514"/>
      <c r="BJ31" s="514"/>
      <c r="BK31" s="514"/>
      <c r="BL31" s="514"/>
      <c r="BM31" s="514"/>
      <c r="BN31" s="515"/>
    </row>
    <row r="32" spans="1:66" ht="15.75" customHeight="1">
      <c r="A32" s="492"/>
      <c r="B32" s="516" t="str">
        <f>IF('[1]旅行命令上申書（国外旅行'!B32:F33="","",'[1]旅行命令上申書（国外旅行'!B32:F33)</f>
        <v/>
      </c>
      <c r="C32" s="517"/>
      <c r="D32" s="517"/>
      <c r="E32" s="517"/>
      <c r="F32" s="518"/>
      <c r="G32" s="504" t="str">
        <f>IF('[1]旅行命令上申書（国外旅行'!G32:K32="","",'[1]旅行命令上申書（国外旅行'!G32:K32)</f>
        <v/>
      </c>
      <c r="H32" s="505"/>
      <c r="I32" s="505"/>
      <c r="J32" s="505"/>
      <c r="K32" s="505"/>
      <c r="L32" s="500"/>
      <c r="M32" s="501"/>
      <c r="N32" s="501"/>
      <c r="O32" s="502"/>
      <c r="P32" s="501" t="str">
        <f>IF('[1]旅行命令上申書（国外旅行'!P32:S33="","",'[1]旅行命令上申書（国外旅行'!P32:S33)</f>
        <v/>
      </c>
      <c r="Q32" s="501"/>
      <c r="R32" s="501"/>
      <c r="S32" s="502"/>
      <c r="T32" s="521" t="str">
        <f>IF('[1]旅行命令上申書（国外旅行'!T32:AG32="","",'[1]旅行命令上申書（国外旅行'!T32:AG32)</f>
        <v/>
      </c>
      <c r="U32" s="522"/>
      <c r="V32" s="522"/>
      <c r="W32" s="522"/>
      <c r="X32" s="522"/>
      <c r="Y32" s="522"/>
      <c r="Z32" s="522"/>
      <c r="AA32" s="522"/>
      <c r="AB32" s="522"/>
      <c r="AC32" s="522"/>
      <c r="AD32" s="522"/>
      <c r="AE32" s="522"/>
      <c r="AF32" s="522"/>
      <c r="AG32" s="523"/>
      <c r="AH32" s="492"/>
      <c r="AI32" s="516" t="str">
        <f>IF('[1]旅行命令上申書（国外旅行'!AI32:AM33="","",'[1]旅行命令上申書（国外旅行'!AI32:AM33)</f>
        <v/>
      </c>
      <c r="AJ32" s="517"/>
      <c r="AK32" s="517"/>
      <c r="AL32" s="517"/>
      <c r="AM32" s="518"/>
      <c r="AN32" s="504" t="str">
        <f>IF('[1]旅行命令上申書（国外旅行'!AN32:AR32="","",'[1]旅行命令上申書（国外旅行'!AN32:AR32)</f>
        <v/>
      </c>
      <c r="AO32" s="505"/>
      <c r="AP32" s="505"/>
      <c r="AQ32" s="505"/>
      <c r="AR32" s="505"/>
      <c r="AS32" s="500"/>
      <c r="AT32" s="501"/>
      <c r="AU32" s="501"/>
      <c r="AV32" s="502"/>
      <c r="AW32" s="501" t="str">
        <f>IF('[1]旅行命令上申書（国外旅行'!AW32:AZ33="","",'[1]旅行命令上申書（国外旅行'!AW32:AZ33)</f>
        <v/>
      </c>
      <c r="AX32" s="501"/>
      <c r="AY32" s="501"/>
      <c r="AZ32" s="502"/>
      <c r="BA32" s="521" t="str">
        <f>IF('[1]旅行命令上申書（国外旅行'!BA32:BN32="","",'[1]旅行命令上申書（国外旅行'!BA32:BN32)</f>
        <v/>
      </c>
      <c r="BB32" s="522"/>
      <c r="BC32" s="522"/>
      <c r="BD32" s="522"/>
      <c r="BE32" s="522"/>
      <c r="BF32" s="522"/>
      <c r="BG32" s="522"/>
      <c r="BH32" s="522"/>
      <c r="BI32" s="522"/>
      <c r="BJ32" s="522"/>
      <c r="BK32" s="522"/>
      <c r="BL32" s="522"/>
      <c r="BM32" s="522"/>
      <c r="BN32" s="523"/>
    </row>
    <row r="33" spans="1:70" ht="15.75" customHeight="1">
      <c r="A33" s="489"/>
      <c r="B33" s="336"/>
      <c r="C33" s="337"/>
      <c r="D33" s="337"/>
      <c r="E33" s="337"/>
      <c r="F33" s="338"/>
      <c r="G33" s="519" t="str">
        <f>IF('[1]旅行命令上申書（国外旅行'!G33:K33="","",'[1]旅行命令上申書（国外旅行'!G33:K33)</f>
        <v/>
      </c>
      <c r="H33" s="520"/>
      <c r="I33" s="520"/>
      <c r="J33" s="520"/>
      <c r="K33" s="520"/>
      <c r="L33" s="285"/>
      <c r="M33" s="286"/>
      <c r="N33" s="286"/>
      <c r="O33" s="503"/>
      <c r="P33" s="286"/>
      <c r="Q33" s="286"/>
      <c r="R33" s="286"/>
      <c r="S33" s="503"/>
      <c r="T33" s="144" t="str">
        <f>IF('[1]旅行命令上申書（国外旅行'!T33:AG33="","",'[1]旅行命令上申書（国外旅行'!T33:AG33)</f>
        <v/>
      </c>
      <c r="U33" s="145"/>
      <c r="V33" s="145"/>
      <c r="W33" s="145"/>
      <c r="X33" s="145"/>
      <c r="Y33" s="145"/>
      <c r="Z33" s="145"/>
      <c r="AA33" s="145"/>
      <c r="AB33" s="145"/>
      <c r="AC33" s="145"/>
      <c r="AD33" s="145"/>
      <c r="AE33" s="145"/>
      <c r="AF33" s="145"/>
      <c r="AG33" s="146"/>
      <c r="AH33" s="489"/>
      <c r="AI33" s="336"/>
      <c r="AJ33" s="337"/>
      <c r="AK33" s="337"/>
      <c r="AL33" s="337"/>
      <c r="AM33" s="338"/>
      <c r="AN33" s="519" t="str">
        <f>IF('[1]旅行命令上申書（国外旅行'!AN33:AR33="","",'[1]旅行命令上申書（国外旅行'!AN33:AR33)</f>
        <v/>
      </c>
      <c r="AO33" s="520"/>
      <c r="AP33" s="520"/>
      <c r="AQ33" s="520"/>
      <c r="AR33" s="520"/>
      <c r="AS33" s="285"/>
      <c r="AT33" s="286"/>
      <c r="AU33" s="286"/>
      <c r="AV33" s="503"/>
      <c r="AW33" s="286"/>
      <c r="AX33" s="286"/>
      <c r="AY33" s="286"/>
      <c r="AZ33" s="503"/>
      <c r="BA33" s="144" t="str">
        <f>IF('[1]旅行命令上申書（国外旅行'!BA33:BN33="","",'[1]旅行命令上申書（国外旅行'!BA33:BN33)</f>
        <v/>
      </c>
      <c r="BB33" s="145"/>
      <c r="BC33" s="145"/>
      <c r="BD33" s="145"/>
      <c r="BE33" s="145"/>
      <c r="BF33" s="145"/>
      <c r="BG33" s="145"/>
      <c r="BH33" s="145"/>
      <c r="BI33" s="145"/>
      <c r="BJ33" s="145"/>
      <c r="BK33" s="145"/>
      <c r="BL33" s="145"/>
      <c r="BM33" s="145"/>
      <c r="BN33" s="146"/>
    </row>
    <row r="34" spans="1:70" ht="6.75" customHeight="1">
      <c r="BH34" s="82"/>
      <c r="BO34" s="82"/>
      <c r="BP34" s="82"/>
      <c r="BQ34" s="82"/>
      <c r="BR34" s="82"/>
    </row>
    <row r="35" spans="1:70" ht="17.25" customHeight="1">
      <c r="A35" s="132" t="s">
        <v>65</v>
      </c>
      <c r="B35" s="133"/>
      <c r="C35" s="133"/>
      <c r="D35" s="133"/>
      <c r="E35" s="133"/>
      <c r="F35" s="134"/>
      <c r="G35" s="21" t="s">
        <v>18</v>
      </c>
      <c r="H35" s="129" t="str">
        <f>IF('[1]旅行命令上申書（国外旅行'!H35:N35="","",'[1]旅行命令上申書（国外旅行'!H35:N35)</f>
        <v/>
      </c>
      <c r="I35" s="129"/>
      <c r="J35" s="129"/>
      <c r="K35" s="129"/>
      <c r="L35" s="129"/>
      <c r="M35" s="129"/>
      <c r="N35" s="129"/>
      <c r="O35" s="20" t="s">
        <v>14</v>
      </c>
      <c r="P35" s="129" t="str">
        <f>IF('[1]旅行命令上申書（国外旅行'!P35:V35="","",'[1]旅行命令上申書（国外旅行'!P35:V35)</f>
        <v/>
      </c>
      <c r="Q35" s="129"/>
      <c r="R35" s="129"/>
      <c r="S35" s="129"/>
      <c r="T35" s="129"/>
      <c r="U35" s="129"/>
      <c r="V35" s="129"/>
      <c r="W35" s="19" t="s">
        <v>13</v>
      </c>
      <c r="X35" s="129" t="str">
        <f>IF('[1]旅行命令上申書（国外旅行'!X35:AC35="","",'[1]旅行命令上申書（国外旅行'!X35:AC35)</f>
        <v/>
      </c>
      <c r="Y35" s="129"/>
      <c r="Z35" s="129"/>
      <c r="AA35" s="129"/>
      <c r="AB35" s="129"/>
      <c r="AC35" s="129"/>
      <c r="AD35" s="18" t="s">
        <v>12</v>
      </c>
      <c r="AE35" s="20" t="s">
        <v>16</v>
      </c>
      <c r="AF35" s="129" t="str">
        <f>IF('[1]旅行命令上申書（国外旅行'!AF35:AL35="","",'[1]旅行命令上申書（国外旅行'!AF35:AL35)</f>
        <v/>
      </c>
      <c r="AG35" s="129"/>
      <c r="AH35" s="129"/>
      <c r="AI35" s="129"/>
      <c r="AJ35" s="129"/>
      <c r="AK35" s="129"/>
      <c r="AL35" s="129"/>
      <c r="AM35" s="20" t="s">
        <v>90</v>
      </c>
      <c r="AN35" s="129" t="str">
        <f>IF('[1]旅行命令上申書（国外旅行'!AN35:AT35="","",'[1]旅行命令上申書（国外旅行'!AN35:AT35)</f>
        <v/>
      </c>
      <c r="AO35" s="129"/>
      <c r="AP35" s="129"/>
      <c r="AQ35" s="129"/>
      <c r="AR35" s="129"/>
      <c r="AS35" s="129"/>
      <c r="AT35" s="129"/>
      <c r="AU35" s="19" t="s">
        <v>91</v>
      </c>
      <c r="AV35" s="129" t="str">
        <f>IF('[1]旅行命令上申書（国外旅行'!AV35:BA35="","",'[1]旅行命令上申書（国外旅行'!AV35:BA35)</f>
        <v/>
      </c>
      <c r="AW35" s="129"/>
      <c r="AX35" s="129"/>
      <c r="AY35" s="129"/>
      <c r="AZ35" s="129"/>
      <c r="BA35" s="129"/>
      <c r="BB35" s="18" t="s">
        <v>12</v>
      </c>
      <c r="BC35" s="339" t="str">
        <f>'[1]旅行命令上申書（国外旅行'!BC35:BD35</f>
        <v>□</v>
      </c>
      <c r="BD35" s="139"/>
      <c r="BE35" s="130" t="s">
        <v>11</v>
      </c>
      <c r="BF35" s="130"/>
      <c r="BG35" s="130"/>
      <c r="BH35" s="130"/>
      <c r="BI35" s="130"/>
      <c r="BJ35" s="53"/>
      <c r="BK35" s="53"/>
      <c r="BL35" s="53"/>
      <c r="BM35" s="53"/>
      <c r="BN35" s="52"/>
    </row>
    <row r="36" spans="1:70" ht="17.25" customHeight="1">
      <c r="A36" s="135"/>
      <c r="B36" s="136"/>
      <c r="C36" s="136"/>
      <c r="D36" s="136"/>
      <c r="E36" s="136"/>
      <c r="F36" s="137"/>
      <c r="G36" s="17" t="s">
        <v>17</v>
      </c>
      <c r="H36" s="131" t="str">
        <f>IF('[1]旅行命令上申書（国外旅行'!H36:N36="","",'[1]旅行命令上申書（国外旅行'!H36:N36)</f>
        <v/>
      </c>
      <c r="I36" s="131"/>
      <c r="J36" s="131"/>
      <c r="K36" s="131"/>
      <c r="L36" s="131"/>
      <c r="M36" s="131"/>
      <c r="N36" s="131"/>
      <c r="O36" s="16" t="s">
        <v>90</v>
      </c>
      <c r="P36" s="131" t="str">
        <f>IF('[1]旅行命令上申書（国外旅行'!P36:V36="","",'[1]旅行命令上申書（国外旅行'!P36:V36)</f>
        <v/>
      </c>
      <c r="Q36" s="131"/>
      <c r="R36" s="131"/>
      <c r="S36" s="131"/>
      <c r="T36" s="131"/>
      <c r="U36" s="131"/>
      <c r="V36" s="131"/>
      <c r="W36" s="15" t="s">
        <v>91</v>
      </c>
      <c r="X36" s="131" t="str">
        <f>IF('[1]旅行命令上申書（国外旅行'!X36:AC36="","",'[1]旅行命令上申書（国外旅行'!X36:AC36)</f>
        <v/>
      </c>
      <c r="Y36" s="131"/>
      <c r="Z36" s="131"/>
      <c r="AA36" s="131"/>
      <c r="AB36" s="131"/>
      <c r="AC36" s="131"/>
      <c r="AD36" s="14" t="s">
        <v>12</v>
      </c>
      <c r="AE36" s="16" t="s">
        <v>15</v>
      </c>
      <c r="AF36" s="131" t="str">
        <f>IF('[1]旅行命令上申書（国外旅行'!AF36:AL36="","",'[1]旅行命令上申書（国外旅行'!AF36:AL36)</f>
        <v/>
      </c>
      <c r="AG36" s="131"/>
      <c r="AH36" s="131"/>
      <c r="AI36" s="131"/>
      <c r="AJ36" s="131"/>
      <c r="AK36" s="131"/>
      <c r="AL36" s="131"/>
      <c r="AM36" s="16" t="s">
        <v>90</v>
      </c>
      <c r="AN36" s="131" t="str">
        <f>IF('[1]旅行命令上申書（国外旅行'!AN36:AT36="","",'[1]旅行命令上申書（国外旅行'!AN36:AT36)</f>
        <v/>
      </c>
      <c r="AO36" s="131"/>
      <c r="AP36" s="131"/>
      <c r="AQ36" s="131"/>
      <c r="AR36" s="131"/>
      <c r="AS36" s="131"/>
      <c r="AT36" s="131"/>
      <c r="AU36" s="15" t="s">
        <v>91</v>
      </c>
      <c r="AV36" s="131" t="str">
        <f>IF('[1]旅行命令上申書（国外旅行'!AV36:BA36="","",'[1]旅行命令上申書（国外旅行'!AV36:BA36)</f>
        <v/>
      </c>
      <c r="AW36" s="131"/>
      <c r="AX36" s="131"/>
      <c r="AY36" s="131"/>
      <c r="AZ36" s="131"/>
      <c r="BA36" s="131"/>
      <c r="BB36" s="14" t="s">
        <v>12</v>
      </c>
      <c r="BC36" s="8" t="s">
        <v>46</v>
      </c>
      <c r="BD36" s="51"/>
      <c r="BE36" s="51"/>
      <c r="BF36" s="51"/>
      <c r="BG36" s="51"/>
      <c r="BH36" s="51"/>
      <c r="BI36" s="51"/>
      <c r="BJ36" s="51"/>
      <c r="BK36" s="51"/>
      <c r="BL36" s="51"/>
      <c r="BM36" s="51"/>
      <c r="BN36" s="50"/>
    </row>
    <row r="37" spans="1:70" ht="13.5" customHeight="1">
      <c r="P37" s="25"/>
      <c r="BC37" s="342" t="s">
        <v>61</v>
      </c>
      <c r="BD37" s="342"/>
      <c r="BE37" s="342"/>
      <c r="BF37" s="342"/>
      <c r="BG37" s="342"/>
      <c r="BH37" s="342"/>
      <c r="BI37" s="342"/>
      <c r="BJ37" s="342"/>
      <c r="BK37" s="342"/>
      <c r="BL37" s="342"/>
      <c r="BM37" s="342"/>
      <c r="BN37" s="342"/>
    </row>
    <row r="38" spans="1:70" ht="6.75" customHeight="1">
      <c r="P38" s="25"/>
      <c r="BH38" s="82"/>
    </row>
    <row r="39" spans="1:70" ht="12.75" customHeight="1">
      <c r="A39" s="475" t="s">
        <v>68</v>
      </c>
      <c r="B39" s="475"/>
      <c r="C39" s="475"/>
      <c r="D39" s="475"/>
      <c r="E39" s="475"/>
      <c r="F39" s="475" t="s">
        <v>122</v>
      </c>
      <c r="G39" s="475"/>
      <c r="H39" s="475"/>
      <c r="I39" s="475"/>
      <c r="J39" s="475"/>
      <c r="K39" s="475"/>
      <c r="P39" s="25"/>
      <c r="BH39" s="82"/>
    </row>
    <row r="40" spans="1:70" ht="12.75" customHeight="1">
      <c r="A40" s="475"/>
      <c r="B40" s="475"/>
      <c r="C40" s="475"/>
      <c r="D40" s="475"/>
      <c r="E40" s="475"/>
      <c r="F40" s="475"/>
      <c r="G40" s="475"/>
      <c r="H40" s="475"/>
      <c r="I40" s="475"/>
      <c r="J40" s="475"/>
      <c r="K40" s="475"/>
      <c r="P40" s="25"/>
      <c r="BH40" s="82"/>
    </row>
    <row r="41" spans="1:70" ht="6.75" customHeight="1">
      <c r="P41" s="25"/>
      <c r="BH41" s="82"/>
    </row>
    <row r="42" spans="1:70" ht="18.75" customHeight="1">
      <c r="A42" s="132" t="s">
        <v>25</v>
      </c>
      <c r="B42" s="185"/>
      <c r="C42" s="185"/>
      <c r="D42" s="185"/>
      <c r="E42" s="185"/>
      <c r="F42" s="186"/>
      <c r="G42" s="467" t="s">
        <v>24</v>
      </c>
      <c r="H42" s="468"/>
      <c r="I42" s="468"/>
      <c r="J42" s="468"/>
      <c r="K42" s="468"/>
      <c r="L42" s="468"/>
      <c r="M42" s="468"/>
      <c r="N42" s="468"/>
      <c r="O42" s="348" t="str">
        <f>IF('[1]旅行命令上申書（国外旅行'!O42:AG42="","",'[1]旅行命令上申書（国外旅行'!O42:AG42)</f>
        <v>(選択してください)</v>
      </c>
      <c r="P42" s="348"/>
      <c r="Q42" s="348"/>
      <c r="R42" s="348"/>
      <c r="S42" s="348"/>
      <c r="T42" s="348"/>
      <c r="U42" s="348"/>
      <c r="V42" s="348"/>
      <c r="W42" s="348"/>
      <c r="X42" s="348"/>
      <c r="Y42" s="348"/>
      <c r="Z42" s="348"/>
      <c r="AA42" s="348"/>
      <c r="AB42" s="348"/>
      <c r="AC42" s="348"/>
      <c r="AD42" s="348"/>
      <c r="AE42" s="348"/>
      <c r="AF42" s="348"/>
      <c r="AG42" s="349"/>
      <c r="AI42" s="530" t="s">
        <v>144</v>
      </c>
      <c r="AJ42" s="300"/>
      <c r="AK42" s="300"/>
      <c r="AL42" s="300"/>
      <c r="AM42" s="300"/>
      <c r="AN42" s="300"/>
      <c r="AO42" s="300"/>
      <c r="AP42" s="300"/>
      <c r="AQ42" s="300"/>
      <c r="AR42" s="300"/>
      <c r="AS42" s="300"/>
      <c r="AT42" s="300"/>
      <c r="AU42" s="300"/>
      <c r="AV42" s="300"/>
      <c r="AW42" s="300"/>
      <c r="AX42" s="300"/>
      <c r="AY42" s="300"/>
      <c r="AZ42" s="300"/>
      <c r="BA42" s="300"/>
      <c r="BB42" s="300"/>
      <c r="BC42" s="300"/>
      <c r="BD42" s="300"/>
      <c r="BE42" s="300"/>
      <c r="BF42" s="300"/>
      <c r="BG42" s="300"/>
      <c r="BH42" s="300"/>
      <c r="BI42" s="300"/>
      <c r="BJ42" s="300"/>
      <c r="BK42" s="300"/>
      <c r="BL42" s="300"/>
      <c r="BM42" s="300"/>
      <c r="BN42" s="531"/>
    </row>
    <row r="43" spans="1:70" ht="18.75" customHeight="1">
      <c r="A43" s="343"/>
      <c r="B43" s="344"/>
      <c r="C43" s="344"/>
      <c r="D43" s="344"/>
      <c r="E43" s="344"/>
      <c r="F43" s="345"/>
      <c r="G43" s="465" t="str">
        <f>IF(OR(O42="基盤研究費",O42="自己負担（精算なし）",O42=""),"",IF(O42="大学運営経費","予算名称",IF(COUNTIF(O42,"*科研費*"),"種目",IF(O42="先方負担","負担種別（全額/一部）",IF(O42="その他","詳細","資金(ﾌﾟﾛｼﾞｪｸﾄ)名称")))))</f>
        <v>資金(ﾌﾟﾛｼﾞｪｸﾄ)名称</v>
      </c>
      <c r="H43" s="466"/>
      <c r="I43" s="466"/>
      <c r="J43" s="466"/>
      <c r="K43" s="466"/>
      <c r="L43" s="466"/>
      <c r="M43" s="466"/>
      <c r="N43" s="466"/>
      <c r="O43" s="352" t="str">
        <f>IF('[1]旅行命令上申書（国外旅行'!O43:AG43="","",'[1]旅行命令上申書（国外旅行'!O43:AG43)</f>
        <v/>
      </c>
      <c r="P43" s="352"/>
      <c r="Q43" s="352"/>
      <c r="R43" s="352"/>
      <c r="S43" s="352"/>
      <c r="T43" s="352"/>
      <c r="U43" s="352"/>
      <c r="V43" s="352"/>
      <c r="W43" s="352"/>
      <c r="X43" s="352"/>
      <c r="Y43" s="352"/>
      <c r="Z43" s="352"/>
      <c r="AA43" s="352"/>
      <c r="AB43" s="352"/>
      <c r="AC43" s="352"/>
      <c r="AD43" s="352"/>
      <c r="AE43" s="352"/>
      <c r="AF43" s="352"/>
      <c r="AG43" s="353"/>
      <c r="AH43" s="42"/>
      <c r="AI43" s="532"/>
      <c r="AJ43" s="539" t="s">
        <v>145</v>
      </c>
      <c r="AK43" s="540"/>
      <c r="AL43" s="540"/>
      <c r="AM43" s="540"/>
      <c r="AN43" s="540"/>
      <c r="AO43" s="540"/>
      <c r="AP43" s="540"/>
      <c r="AQ43" s="540"/>
      <c r="AR43" s="540"/>
      <c r="AS43" s="540"/>
      <c r="AT43" s="540"/>
      <c r="AU43" s="540"/>
      <c r="AV43" s="540"/>
      <c r="AW43" s="540"/>
      <c r="AX43" s="540"/>
      <c r="AY43" s="540"/>
      <c r="AZ43" s="540"/>
      <c r="BA43" s="540"/>
      <c r="BB43" s="540"/>
      <c r="BC43" s="540"/>
      <c r="BD43" s="540"/>
      <c r="BE43" s="540"/>
      <c r="BF43" s="540"/>
      <c r="BG43" s="540"/>
      <c r="BH43" s="540"/>
      <c r="BI43" s="540"/>
      <c r="BJ43" s="540"/>
      <c r="BK43" s="540"/>
      <c r="BL43" s="540"/>
      <c r="BM43" s="540"/>
      <c r="BN43" s="541"/>
    </row>
    <row r="44" spans="1:70" ht="17.25" customHeight="1">
      <c r="A44" s="343"/>
      <c r="B44" s="344"/>
      <c r="C44" s="344"/>
      <c r="D44" s="344"/>
      <c r="E44" s="344"/>
      <c r="F44" s="345"/>
      <c r="G44" s="465" t="str">
        <f>+IF(OR(O42="基盤研究費",O42="大学運営経費",O42="自己負担（精算なし）",O42="その他",O42=""),"",IF(O42="先方負担","先方負担先名",IF(COUNTIF(O42,"*科研費*"),"研究代表者名","経費区分（直接/間接）")))</f>
        <v>経費区分（直接/間接）</v>
      </c>
      <c r="H44" s="466"/>
      <c r="I44" s="466"/>
      <c r="J44" s="466"/>
      <c r="K44" s="466"/>
      <c r="L44" s="466"/>
      <c r="M44" s="466"/>
      <c r="N44" s="466"/>
      <c r="O44" s="352" t="str">
        <f>IF('[1]旅行命令上申書（国外旅行'!O44:AG44="","",'[1]旅行命令上申書（国外旅行'!O44:AG44)</f>
        <v/>
      </c>
      <c r="P44" s="352"/>
      <c r="Q44" s="352"/>
      <c r="R44" s="352"/>
      <c r="S44" s="352"/>
      <c r="T44" s="352"/>
      <c r="U44" s="352"/>
      <c r="V44" s="352"/>
      <c r="W44" s="352"/>
      <c r="X44" s="352"/>
      <c r="Y44" s="352"/>
      <c r="Z44" s="352"/>
      <c r="AA44" s="352"/>
      <c r="AB44" s="352"/>
      <c r="AC44" s="352"/>
      <c r="AD44" s="352"/>
      <c r="AE44" s="352"/>
      <c r="AF44" s="352"/>
      <c r="AG44" s="353"/>
      <c r="AH44" s="42"/>
      <c r="AI44" s="533"/>
      <c r="AJ44" s="542"/>
      <c r="AK44" s="543"/>
      <c r="AL44" s="543"/>
      <c r="AM44" s="543"/>
      <c r="AN44" s="543"/>
      <c r="AO44" s="543"/>
      <c r="AP44" s="543"/>
      <c r="AQ44" s="543"/>
      <c r="AR44" s="543"/>
      <c r="AS44" s="543"/>
      <c r="AT44" s="543"/>
      <c r="AU44" s="543"/>
      <c r="AV44" s="543"/>
      <c r="AW44" s="543"/>
      <c r="AX44" s="543"/>
      <c r="AY44" s="543"/>
      <c r="AZ44" s="543"/>
      <c r="BA44" s="543"/>
      <c r="BB44" s="543"/>
      <c r="BC44" s="543"/>
      <c r="BD44" s="543"/>
      <c r="BE44" s="543"/>
      <c r="BF44" s="543"/>
      <c r="BG44" s="543"/>
      <c r="BH44" s="543"/>
      <c r="BI44" s="543"/>
      <c r="BJ44" s="543"/>
      <c r="BK44" s="543"/>
      <c r="BL44" s="543"/>
      <c r="BM44" s="543"/>
      <c r="BN44" s="544"/>
    </row>
    <row r="45" spans="1:70" ht="17.25" customHeight="1">
      <c r="A45" s="343"/>
      <c r="B45" s="344"/>
      <c r="C45" s="344"/>
      <c r="D45" s="344"/>
      <c r="E45" s="344"/>
      <c r="F45" s="345"/>
      <c r="G45" s="465" t="str">
        <f>+IF(OR(O42="基盤研究費",O42="大学運営経費",O42="自己負担（精算なし）",O42="その他",O42=""),"",IF(O42="先方負担","先方負担内容",IF(COUNTIF(O42,"*科研費*"),"所管（ﾌﾟﾛｼﾞｪｸﾄ）名称","ﾌﾟﾛｼﾞｪｸﾄNo.(ｺｰﾄﾞ)")))</f>
        <v>ﾌﾟﾛｼﾞｪｸﾄNo.(ｺｰﾄﾞ)</v>
      </c>
      <c r="H45" s="466"/>
      <c r="I45" s="466"/>
      <c r="J45" s="466"/>
      <c r="K45" s="466"/>
      <c r="L45" s="466"/>
      <c r="M45" s="466"/>
      <c r="N45" s="466"/>
      <c r="O45" s="352" t="str">
        <f>IF('[1]旅行命令上申書（国外旅行'!O45:AG45="","",'[1]旅行命令上申書（国外旅行'!O45:AG45)</f>
        <v/>
      </c>
      <c r="P45" s="352"/>
      <c r="Q45" s="352"/>
      <c r="R45" s="352"/>
      <c r="S45" s="352"/>
      <c r="T45" s="352"/>
      <c r="U45" s="352"/>
      <c r="V45" s="352"/>
      <c r="W45" s="352"/>
      <c r="X45" s="352"/>
      <c r="Y45" s="352"/>
      <c r="Z45" s="352"/>
      <c r="AA45" s="352"/>
      <c r="AB45" s="352"/>
      <c r="AC45" s="352"/>
      <c r="AD45" s="352"/>
      <c r="AE45" s="352"/>
      <c r="AF45" s="352"/>
      <c r="AG45" s="353"/>
      <c r="AH45" s="42"/>
      <c r="AI45" s="533"/>
      <c r="AJ45" s="542"/>
      <c r="AK45" s="543"/>
      <c r="AL45" s="543"/>
      <c r="AM45" s="543"/>
      <c r="AN45" s="543"/>
      <c r="AO45" s="543"/>
      <c r="AP45" s="543"/>
      <c r="AQ45" s="543"/>
      <c r="AR45" s="543"/>
      <c r="AS45" s="543"/>
      <c r="AT45" s="543"/>
      <c r="AU45" s="543"/>
      <c r="AV45" s="543"/>
      <c r="AW45" s="543"/>
      <c r="AX45" s="543"/>
      <c r="AY45" s="543"/>
      <c r="AZ45" s="543"/>
      <c r="BA45" s="543"/>
      <c r="BB45" s="543"/>
      <c r="BC45" s="543"/>
      <c r="BD45" s="543"/>
      <c r="BE45" s="543"/>
      <c r="BF45" s="543"/>
      <c r="BG45" s="543"/>
      <c r="BH45" s="543"/>
      <c r="BI45" s="543"/>
      <c r="BJ45" s="543"/>
      <c r="BK45" s="543"/>
      <c r="BL45" s="543"/>
      <c r="BM45" s="543"/>
      <c r="BN45" s="544"/>
    </row>
    <row r="46" spans="1:70" ht="17.25" customHeight="1">
      <c r="A46" s="343"/>
      <c r="B46" s="344"/>
      <c r="C46" s="344"/>
      <c r="D46" s="344"/>
      <c r="E46" s="344"/>
      <c r="F46" s="345"/>
      <c r="G46" s="465" t="str">
        <f>IF(COUNTIF(O42,"*科研費*"),"ﾌﾟﾛｼﾞｪｸﾄNo.(ｺｰﾄﾞ)","")</f>
        <v/>
      </c>
      <c r="H46" s="466"/>
      <c r="I46" s="466"/>
      <c r="J46" s="466"/>
      <c r="K46" s="466"/>
      <c r="L46" s="466"/>
      <c r="M46" s="466"/>
      <c r="N46" s="466"/>
      <c r="O46" s="352" t="str">
        <f>IF('[1]旅行命令上申書（国外旅行'!O46:AG46="","",'[1]旅行命令上申書（国外旅行'!O46:AG46)</f>
        <v/>
      </c>
      <c r="P46" s="352"/>
      <c r="Q46" s="352"/>
      <c r="R46" s="352"/>
      <c r="S46" s="352"/>
      <c r="T46" s="352"/>
      <c r="U46" s="352"/>
      <c r="V46" s="352"/>
      <c r="W46" s="352"/>
      <c r="X46" s="352"/>
      <c r="Y46" s="352"/>
      <c r="Z46" s="352"/>
      <c r="AA46" s="352"/>
      <c r="AB46" s="352"/>
      <c r="AC46" s="352"/>
      <c r="AD46" s="352"/>
      <c r="AE46" s="352"/>
      <c r="AF46" s="352"/>
      <c r="AG46" s="353"/>
      <c r="AH46" s="42"/>
      <c r="AI46" s="533"/>
      <c r="AJ46" s="542"/>
      <c r="AK46" s="543"/>
      <c r="AL46" s="543"/>
      <c r="AM46" s="543"/>
      <c r="AN46" s="543"/>
      <c r="AO46" s="543"/>
      <c r="AP46" s="543"/>
      <c r="AQ46" s="543"/>
      <c r="AR46" s="543"/>
      <c r="AS46" s="543"/>
      <c r="AT46" s="543"/>
      <c r="AU46" s="543"/>
      <c r="AV46" s="543"/>
      <c r="AW46" s="543"/>
      <c r="AX46" s="543"/>
      <c r="AY46" s="543"/>
      <c r="AZ46" s="543"/>
      <c r="BA46" s="543"/>
      <c r="BB46" s="543"/>
      <c r="BC46" s="543"/>
      <c r="BD46" s="543"/>
      <c r="BE46" s="543"/>
      <c r="BF46" s="543"/>
      <c r="BG46" s="543"/>
      <c r="BH46" s="543"/>
      <c r="BI46" s="543"/>
      <c r="BJ46" s="543"/>
      <c r="BK46" s="543"/>
      <c r="BL46" s="543"/>
      <c r="BM46" s="543"/>
      <c r="BN46" s="544"/>
    </row>
    <row r="47" spans="1:70" ht="17.25" customHeight="1">
      <c r="A47" s="187"/>
      <c r="B47" s="188"/>
      <c r="C47" s="188"/>
      <c r="D47" s="188"/>
      <c r="E47" s="188"/>
      <c r="F47" s="189"/>
      <c r="G47" s="354" t="s">
        <v>22</v>
      </c>
      <c r="H47" s="355"/>
      <c r="I47" s="355"/>
      <c r="J47" s="355"/>
      <c r="K47" s="355"/>
      <c r="L47" s="355"/>
      <c r="M47" s="355"/>
      <c r="N47" s="355"/>
      <c r="O47" s="356" t="str">
        <f>IF('[1]旅行命令上申書（国外旅行'!O47:AG47="","",'[1]旅行命令上申書（国外旅行'!O47:AG47)</f>
        <v/>
      </c>
      <c r="P47" s="356"/>
      <c r="Q47" s="356"/>
      <c r="R47" s="356"/>
      <c r="S47" s="356"/>
      <c r="T47" s="356"/>
      <c r="U47" s="356"/>
      <c r="V47" s="356"/>
      <c r="W47" s="356"/>
      <c r="X47" s="356"/>
      <c r="Y47" s="356"/>
      <c r="Z47" s="356"/>
      <c r="AA47" s="356"/>
      <c r="AB47" s="356"/>
      <c r="AC47" s="356"/>
      <c r="AD47" s="356"/>
      <c r="AE47" s="356"/>
      <c r="AF47" s="356"/>
      <c r="AG47" s="357"/>
      <c r="AH47" s="42"/>
      <c r="AI47" s="533"/>
      <c r="AJ47" s="542"/>
      <c r="AK47" s="543"/>
      <c r="AL47" s="543"/>
      <c r="AM47" s="543"/>
      <c r="AN47" s="543"/>
      <c r="AO47" s="543"/>
      <c r="AP47" s="543"/>
      <c r="AQ47" s="543"/>
      <c r="AR47" s="543"/>
      <c r="AS47" s="543"/>
      <c r="AT47" s="543"/>
      <c r="AU47" s="543"/>
      <c r="AV47" s="543"/>
      <c r="AW47" s="543"/>
      <c r="AX47" s="543"/>
      <c r="AY47" s="543"/>
      <c r="AZ47" s="543"/>
      <c r="BA47" s="543"/>
      <c r="BB47" s="543"/>
      <c r="BC47" s="543"/>
      <c r="BD47" s="543"/>
      <c r="BE47" s="543"/>
      <c r="BF47" s="543"/>
      <c r="BG47" s="543"/>
      <c r="BH47" s="543"/>
      <c r="BI47" s="543"/>
      <c r="BJ47" s="543"/>
      <c r="BK47" s="543"/>
      <c r="BL47" s="543"/>
      <c r="BM47" s="543"/>
      <c r="BN47" s="544"/>
    </row>
    <row r="48" spans="1:70" ht="17.25" customHeight="1">
      <c r="A48" s="132" t="s">
        <v>21</v>
      </c>
      <c r="B48" s="185"/>
      <c r="C48" s="185"/>
      <c r="D48" s="185"/>
      <c r="E48" s="185"/>
      <c r="F48" s="186"/>
      <c r="G48" s="358" t="str">
        <f>'[1]旅行命令上申書（国外旅行'!G48:H48</f>
        <v>□</v>
      </c>
      <c r="H48" s="359"/>
      <c r="I48" s="278" t="s">
        <v>20</v>
      </c>
      <c r="J48" s="278"/>
      <c r="K48" s="278"/>
      <c r="L48" s="278"/>
      <c r="M48" s="278"/>
      <c r="N48" s="278"/>
      <c r="O48" s="359" t="str">
        <f>'[1]旅行命令上申書（国外旅行'!O48:P48</f>
        <v>□</v>
      </c>
      <c r="P48" s="359"/>
      <c r="Q48" s="278" t="s">
        <v>19</v>
      </c>
      <c r="R48" s="278"/>
      <c r="S48" s="278"/>
      <c r="T48" s="278"/>
      <c r="U48" s="278"/>
      <c r="V48" s="278"/>
      <c r="W48" s="78"/>
      <c r="X48" s="78"/>
      <c r="Y48" s="78"/>
      <c r="Z48" s="78"/>
      <c r="AA48" s="78"/>
      <c r="AB48" s="78"/>
      <c r="AC48" s="78"/>
      <c r="AD48" s="78"/>
      <c r="AE48" s="78"/>
      <c r="AF48" s="77"/>
      <c r="AG48" s="83"/>
      <c r="AH48" s="42"/>
      <c r="AI48" s="533"/>
      <c r="AJ48" s="542"/>
      <c r="AK48" s="543"/>
      <c r="AL48" s="543"/>
      <c r="AM48" s="543"/>
      <c r="AN48" s="543"/>
      <c r="AO48" s="543"/>
      <c r="AP48" s="543"/>
      <c r="AQ48" s="543"/>
      <c r="AR48" s="543"/>
      <c r="AS48" s="543"/>
      <c r="AT48" s="543"/>
      <c r="AU48" s="543"/>
      <c r="AV48" s="543"/>
      <c r="AW48" s="543"/>
      <c r="AX48" s="543"/>
      <c r="AY48" s="543"/>
      <c r="AZ48" s="543"/>
      <c r="BA48" s="543"/>
      <c r="BB48" s="543"/>
      <c r="BC48" s="543"/>
      <c r="BD48" s="543"/>
      <c r="BE48" s="543"/>
      <c r="BF48" s="543"/>
      <c r="BG48" s="543"/>
      <c r="BH48" s="543"/>
      <c r="BI48" s="543"/>
      <c r="BJ48" s="543"/>
      <c r="BK48" s="543"/>
      <c r="BL48" s="543"/>
      <c r="BM48" s="543"/>
      <c r="BN48" s="544"/>
    </row>
    <row r="49" spans="1:75" ht="17.25" customHeight="1">
      <c r="A49" s="343"/>
      <c r="B49" s="344"/>
      <c r="C49" s="344"/>
      <c r="D49" s="344"/>
      <c r="E49" s="344"/>
      <c r="F49" s="345"/>
      <c r="G49" s="362" t="str">
        <f>'[1]旅行命令上申書（国外旅行'!G49:H49</f>
        <v>□</v>
      </c>
      <c r="H49" s="363"/>
      <c r="I49" s="340" t="s">
        <v>36</v>
      </c>
      <c r="J49" s="340"/>
      <c r="K49" s="340"/>
      <c r="L49" s="340"/>
      <c r="M49" s="340"/>
      <c r="N49" s="340"/>
      <c r="O49" s="363" t="str">
        <f>'[1]旅行命令上申書（国外旅行'!O49:P49</f>
        <v>□</v>
      </c>
      <c r="P49" s="363"/>
      <c r="Q49" s="340" t="s">
        <v>35</v>
      </c>
      <c r="R49" s="340"/>
      <c r="S49" s="340"/>
      <c r="T49" s="340"/>
      <c r="U49" s="340"/>
      <c r="V49" s="340"/>
      <c r="W49" s="363" t="str">
        <f>'[1]旅行命令上申書（国外旅行'!W49:X49</f>
        <v>□</v>
      </c>
      <c r="X49" s="363"/>
      <c r="Y49" s="80" t="s">
        <v>34</v>
      </c>
      <c r="Z49" s="80"/>
      <c r="AA49" s="80"/>
      <c r="AB49" s="80"/>
      <c r="AC49" s="80"/>
      <c r="AD49" s="80"/>
      <c r="AE49" s="80"/>
      <c r="AF49" s="47"/>
      <c r="AG49" s="46"/>
      <c r="AH49" s="42"/>
      <c r="AI49" s="533"/>
      <c r="AJ49" s="545"/>
      <c r="AK49" s="546"/>
      <c r="AL49" s="546"/>
      <c r="AM49" s="546"/>
      <c r="AN49" s="546"/>
      <c r="AO49" s="546"/>
      <c r="AP49" s="546"/>
      <c r="AQ49" s="546"/>
      <c r="AR49" s="546"/>
      <c r="AS49" s="546"/>
      <c r="AT49" s="546"/>
      <c r="AU49" s="546"/>
      <c r="AV49" s="546"/>
      <c r="AW49" s="546"/>
      <c r="AX49" s="546"/>
      <c r="AY49" s="546"/>
      <c r="AZ49" s="546"/>
      <c r="BA49" s="546"/>
      <c r="BB49" s="546"/>
      <c r="BC49" s="546"/>
      <c r="BD49" s="546"/>
      <c r="BE49" s="546"/>
      <c r="BF49" s="546"/>
      <c r="BG49" s="546"/>
      <c r="BH49" s="546"/>
      <c r="BI49" s="546"/>
      <c r="BJ49" s="546"/>
      <c r="BK49" s="546"/>
      <c r="BL49" s="546"/>
      <c r="BM49" s="546"/>
      <c r="BN49" s="547"/>
    </row>
    <row r="50" spans="1:75" ht="17.25" customHeight="1">
      <c r="A50" s="187"/>
      <c r="B50" s="188"/>
      <c r="C50" s="188"/>
      <c r="D50" s="188"/>
      <c r="E50" s="188"/>
      <c r="F50" s="189"/>
      <c r="G50" s="360" t="str">
        <f>'[1]旅行命令上申書（国外旅行'!G50:H50</f>
        <v>□</v>
      </c>
      <c r="H50" s="361"/>
      <c r="I50" s="364" t="s">
        <v>7</v>
      </c>
      <c r="J50" s="364"/>
      <c r="K50" s="364"/>
      <c r="L50" s="364"/>
      <c r="M50" s="364"/>
      <c r="N50" s="364"/>
      <c r="O50" s="361" t="str">
        <f>'[1]旅行命令上申書（国外旅行'!O50:P50</f>
        <v>□</v>
      </c>
      <c r="P50" s="361"/>
      <c r="Q50" s="364" t="s">
        <v>33</v>
      </c>
      <c r="R50" s="364"/>
      <c r="S50" s="364"/>
      <c r="T50" s="364"/>
      <c r="U50" s="364"/>
      <c r="V50" s="364"/>
      <c r="W50" s="361" t="str">
        <f>'[1]旅行命令上申書（国外旅行'!W50:X50</f>
        <v>□</v>
      </c>
      <c r="X50" s="361"/>
      <c r="Y50" s="81" t="s">
        <v>32</v>
      </c>
      <c r="Z50" s="81"/>
      <c r="AA50" s="81"/>
      <c r="AB50" s="81"/>
      <c r="AC50" s="81"/>
      <c r="AD50" s="81"/>
      <c r="AE50" s="81"/>
      <c r="AF50" s="81"/>
      <c r="AG50" s="84"/>
      <c r="AH50" s="42"/>
      <c r="AI50" s="533"/>
      <c r="AJ50" s="535" t="s">
        <v>95</v>
      </c>
      <c r="AK50" s="536"/>
      <c r="AL50" s="537" t="s">
        <v>146</v>
      </c>
      <c r="AM50" s="537"/>
      <c r="AN50" s="537"/>
      <c r="AO50" s="537"/>
      <c r="AP50" s="537"/>
      <c r="AQ50" s="537"/>
      <c r="AR50" s="537"/>
      <c r="AS50" s="537"/>
      <c r="AT50" s="537"/>
      <c r="AU50" s="537"/>
      <c r="AV50" s="537"/>
      <c r="AW50" s="537"/>
      <c r="AX50" s="537"/>
      <c r="AY50" s="537"/>
      <c r="AZ50" s="537"/>
      <c r="BA50" s="537"/>
      <c r="BB50" s="537"/>
      <c r="BC50" s="537"/>
      <c r="BD50" s="537"/>
      <c r="BE50" s="537"/>
      <c r="BF50" s="537"/>
      <c r="BG50" s="537"/>
      <c r="BH50" s="537"/>
      <c r="BI50" s="537"/>
      <c r="BJ50" s="537"/>
      <c r="BK50" s="537"/>
      <c r="BL50" s="537"/>
      <c r="BM50" s="537"/>
      <c r="BN50" s="538"/>
    </row>
    <row r="51" spans="1:75" ht="17.25" customHeight="1">
      <c r="A51" s="132" t="s">
        <v>44</v>
      </c>
      <c r="B51" s="185"/>
      <c r="C51" s="185"/>
      <c r="D51" s="185"/>
      <c r="E51" s="185"/>
      <c r="F51" s="186"/>
      <c r="G51" s="358" t="str">
        <f>'[1]旅行命令上申書（国外旅行'!G51:H52</f>
        <v>□</v>
      </c>
      <c r="H51" s="359"/>
      <c r="I51" s="278" t="s">
        <v>94</v>
      </c>
      <c r="J51" s="278"/>
      <c r="K51" s="278"/>
      <c r="L51" s="278"/>
      <c r="M51" s="278"/>
      <c r="N51" s="278"/>
      <c r="O51" s="278"/>
      <c r="P51" s="278"/>
      <c r="Q51" s="278"/>
      <c r="R51" s="278"/>
      <c r="S51" s="278"/>
      <c r="T51" s="278"/>
      <c r="U51" s="278"/>
      <c r="V51" s="278"/>
      <c r="W51" s="278"/>
      <c r="X51" s="278"/>
      <c r="Y51" s="278"/>
      <c r="Z51" s="278"/>
      <c r="AA51" s="278"/>
      <c r="AB51" s="278"/>
      <c r="AC51" s="278"/>
      <c r="AD51" s="278"/>
      <c r="AE51" s="278"/>
      <c r="AF51" s="278"/>
      <c r="AG51" s="279"/>
      <c r="AH51" s="42"/>
      <c r="AI51" s="533"/>
      <c r="AJ51" s="25"/>
      <c r="AK51" s="548" t="s">
        <v>147</v>
      </c>
      <c r="AL51" s="548"/>
      <c r="AM51" s="548"/>
      <c r="AN51" s="548"/>
      <c r="AO51" s="548"/>
      <c r="AP51" s="548"/>
      <c r="AQ51" s="548"/>
      <c r="AR51" s="548"/>
      <c r="AS51" s="548"/>
      <c r="AT51" s="548"/>
      <c r="AU51" s="548"/>
      <c r="AV51" s="548"/>
      <c r="AW51" s="548"/>
      <c r="AX51" s="548"/>
      <c r="AY51" s="548"/>
      <c r="AZ51" s="548"/>
      <c r="BA51" s="548"/>
      <c r="BB51" s="548"/>
      <c r="BC51" s="548"/>
      <c r="BD51" s="548"/>
      <c r="BE51" s="548"/>
      <c r="BF51" s="548"/>
      <c r="BG51" s="548"/>
      <c r="BH51" s="548"/>
      <c r="BI51" s="548"/>
      <c r="BJ51" s="548"/>
      <c r="BK51" s="548"/>
      <c r="BL51" s="548"/>
      <c r="BM51" s="548"/>
      <c r="BN51" s="549"/>
    </row>
    <row r="52" spans="1:75" ht="17.25" customHeight="1">
      <c r="A52" s="187"/>
      <c r="B52" s="188"/>
      <c r="C52" s="188"/>
      <c r="D52" s="188"/>
      <c r="E52" s="188"/>
      <c r="F52" s="189"/>
      <c r="G52" s="360"/>
      <c r="H52" s="361"/>
      <c r="I52" s="364"/>
      <c r="J52" s="364"/>
      <c r="K52" s="364"/>
      <c r="L52" s="364"/>
      <c r="M52" s="364"/>
      <c r="N52" s="364"/>
      <c r="O52" s="364"/>
      <c r="P52" s="364"/>
      <c r="Q52" s="364"/>
      <c r="R52" s="364"/>
      <c r="S52" s="364"/>
      <c r="T52" s="364"/>
      <c r="U52" s="364"/>
      <c r="V52" s="364"/>
      <c r="W52" s="364"/>
      <c r="X52" s="364"/>
      <c r="Y52" s="364"/>
      <c r="Z52" s="364"/>
      <c r="AA52" s="364"/>
      <c r="AB52" s="364"/>
      <c r="AC52" s="364"/>
      <c r="AD52" s="364"/>
      <c r="AE52" s="364"/>
      <c r="AF52" s="364"/>
      <c r="AG52" s="474"/>
      <c r="AH52" s="42"/>
      <c r="AI52" s="533"/>
      <c r="AJ52" s="25"/>
      <c r="AK52" s="269" t="s">
        <v>95</v>
      </c>
      <c r="AL52" s="269"/>
      <c r="AM52" s="548" t="s">
        <v>148</v>
      </c>
      <c r="AN52" s="548"/>
      <c r="AO52" s="548"/>
      <c r="AP52" s="269"/>
      <c r="AQ52" s="269"/>
      <c r="AR52" s="269" t="s">
        <v>149</v>
      </c>
      <c r="AS52" s="269"/>
      <c r="AT52" s="548"/>
      <c r="AU52" s="548"/>
      <c r="AV52" s="548"/>
      <c r="AW52" s="548"/>
      <c r="AX52" s="548"/>
      <c r="AY52" s="548"/>
      <c r="AZ52" s="548"/>
      <c r="BA52" s="548"/>
      <c r="BB52" s="548"/>
      <c r="BC52" s="548"/>
      <c r="BD52" s="548"/>
      <c r="BE52" s="548"/>
      <c r="BF52" s="548"/>
      <c r="BG52" s="548"/>
      <c r="BH52" s="548"/>
      <c r="BI52" s="548"/>
      <c r="BJ52" s="548"/>
      <c r="BK52" s="548"/>
      <c r="BL52" s="548"/>
      <c r="BM52" s="548"/>
      <c r="BN52" s="549"/>
    </row>
    <row r="53" spans="1:75" ht="17.25" customHeight="1">
      <c r="A53" s="132" t="s">
        <v>150</v>
      </c>
      <c r="B53" s="185"/>
      <c r="C53" s="185"/>
      <c r="D53" s="185"/>
      <c r="E53" s="185"/>
      <c r="F53" s="186"/>
      <c r="G53" s="358" t="s">
        <v>95</v>
      </c>
      <c r="H53" s="359"/>
      <c r="I53" s="278" t="s">
        <v>79</v>
      </c>
      <c r="J53" s="278"/>
      <c r="K53" s="278"/>
      <c r="L53" s="278"/>
      <c r="M53" s="278"/>
      <c r="N53" s="278"/>
      <c r="O53" s="278"/>
      <c r="P53" s="278"/>
      <c r="Q53" s="278"/>
      <c r="R53" s="278"/>
      <c r="S53" s="278"/>
      <c r="T53" s="278"/>
      <c r="U53" s="278"/>
      <c r="V53" s="278"/>
      <c r="W53" s="278"/>
      <c r="X53" s="278"/>
      <c r="Y53" s="278"/>
      <c r="Z53" s="278"/>
      <c r="AA53" s="278"/>
      <c r="AB53" s="278"/>
      <c r="AC53" s="278"/>
      <c r="AD53" s="278"/>
      <c r="AE53" s="278"/>
      <c r="AF53" s="278"/>
      <c r="AG53" s="279"/>
      <c r="AH53" s="42"/>
      <c r="AI53" s="533"/>
      <c r="AJ53" s="25"/>
      <c r="AK53" s="269" t="s">
        <v>95</v>
      </c>
      <c r="AL53" s="269"/>
      <c r="AM53" s="548" t="s">
        <v>151</v>
      </c>
      <c r="AN53" s="548"/>
      <c r="AO53" s="548"/>
      <c r="AP53" s="269"/>
      <c r="AQ53" s="269"/>
      <c r="AR53" s="269" t="s">
        <v>149</v>
      </c>
      <c r="AS53" s="269"/>
      <c r="AT53" s="548"/>
      <c r="AU53" s="548"/>
      <c r="AV53" s="548"/>
      <c r="AW53" s="548"/>
      <c r="AX53" s="548"/>
      <c r="AY53" s="548"/>
      <c r="AZ53" s="548"/>
      <c r="BA53" s="548"/>
      <c r="BB53" s="548"/>
      <c r="BC53" s="548"/>
      <c r="BD53" s="548"/>
      <c r="BE53" s="548"/>
      <c r="BF53" s="548"/>
      <c r="BG53" s="548"/>
      <c r="BH53" s="548"/>
      <c r="BI53" s="548"/>
      <c r="BJ53" s="548"/>
      <c r="BK53" s="548"/>
      <c r="BL53" s="548"/>
      <c r="BM53" s="548"/>
      <c r="BN53" s="549"/>
    </row>
    <row r="54" spans="1:75" ht="17.25" customHeight="1">
      <c r="A54" s="187"/>
      <c r="B54" s="188"/>
      <c r="C54" s="188"/>
      <c r="D54" s="188"/>
      <c r="E54" s="188"/>
      <c r="F54" s="189"/>
      <c r="G54" s="360" t="s">
        <v>95</v>
      </c>
      <c r="H54" s="361"/>
      <c r="I54" s="340" t="s">
        <v>78</v>
      </c>
      <c r="J54" s="340"/>
      <c r="K54" s="340"/>
      <c r="L54" s="340"/>
      <c r="M54" s="340"/>
      <c r="N54" s="340"/>
      <c r="O54" s="340"/>
      <c r="P54" s="340"/>
      <c r="Q54" s="340"/>
      <c r="R54" s="340"/>
      <c r="S54" s="340"/>
      <c r="T54" s="340"/>
      <c r="U54" s="340"/>
      <c r="V54" s="340"/>
      <c r="W54" s="340"/>
      <c r="X54" s="340"/>
      <c r="Y54" s="340"/>
      <c r="Z54" s="340"/>
      <c r="AA54" s="340"/>
      <c r="AB54" s="340"/>
      <c r="AC54" s="340"/>
      <c r="AD54" s="340"/>
      <c r="AE54" s="340"/>
      <c r="AF54" s="340"/>
      <c r="AG54" s="341"/>
      <c r="AH54" s="42"/>
      <c r="AI54" s="533"/>
      <c r="AJ54" s="25"/>
      <c r="AK54" s="269" t="s">
        <v>95</v>
      </c>
      <c r="AL54" s="269"/>
      <c r="AM54" s="548" t="s">
        <v>152</v>
      </c>
      <c r="AN54" s="548"/>
      <c r="AO54" s="548"/>
      <c r="AP54" s="269"/>
      <c r="AQ54" s="269"/>
      <c r="AR54" s="269" t="s">
        <v>149</v>
      </c>
      <c r="AS54" s="269"/>
      <c r="AT54" s="548"/>
      <c r="AU54" s="548"/>
      <c r="AV54" s="548"/>
      <c r="AW54" s="548"/>
      <c r="AX54" s="548"/>
      <c r="AY54" s="548"/>
      <c r="AZ54" s="548"/>
      <c r="BA54" s="548"/>
      <c r="BB54" s="548"/>
      <c r="BC54" s="548"/>
      <c r="BD54" s="548"/>
      <c r="BE54" s="548"/>
      <c r="BF54" s="548"/>
      <c r="BG54" s="548"/>
      <c r="BH54" s="548"/>
      <c r="BI54" s="548"/>
      <c r="BJ54" s="548"/>
      <c r="BK54" s="548"/>
      <c r="BL54" s="548"/>
      <c r="BM54" s="548"/>
      <c r="BN54" s="549"/>
    </row>
    <row r="55" spans="1:75" ht="17.25" customHeight="1">
      <c r="A55" s="132" t="s">
        <v>132</v>
      </c>
      <c r="B55" s="185"/>
      <c r="C55" s="185"/>
      <c r="D55" s="185"/>
      <c r="E55" s="185"/>
      <c r="F55" s="186"/>
      <c r="G55" s="358" t="str">
        <f>'[1]旅行命令上申書（国外旅行'!G55:H55</f>
        <v>□</v>
      </c>
      <c r="H55" s="359"/>
      <c r="I55" s="278" t="s">
        <v>133</v>
      </c>
      <c r="J55" s="278"/>
      <c r="K55" s="278"/>
      <c r="L55" s="278"/>
      <c r="M55" s="278"/>
      <c r="N55" s="278"/>
      <c r="O55" s="278"/>
      <c r="P55" s="278"/>
      <c r="Q55" s="278"/>
      <c r="R55" s="278"/>
      <c r="S55" s="278"/>
      <c r="T55" s="278"/>
      <c r="U55" s="278"/>
      <c r="V55" s="278"/>
      <c r="W55" s="278"/>
      <c r="X55" s="278"/>
      <c r="Y55" s="278"/>
      <c r="Z55" s="278"/>
      <c r="AA55" s="278"/>
      <c r="AB55" s="278"/>
      <c r="AC55" s="278"/>
      <c r="AD55" s="278"/>
      <c r="AE55" s="278"/>
      <c r="AF55" s="278"/>
      <c r="AG55" s="279"/>
      <c r="AH55" s="42"/>
      <c r="AI55" s="533"/>
      <c r="AJ55" s="25"/>
      <c r="AK55" s="269" t="s">
        <v>95</v>
      </c>
      <c r="AL55" s="269"/>
      <c r="AM55" s="548" t="s">
        <v>153</v>
      </c>
      <c r="AN55" s="548"/>
      <c r="AO55" s="548"/>
      <c r="AP55" s="269"/>
      <c r="AQ55" s="269"/>
      <c r="AR55" s="269" t="s">
        <v>149</v>
      </c>
      <c r="AS55" s="269"/>
      <c r="AT55" s="548" t="s">
        <v>154</v>
      </c>
      <c r="AU55" s="548"/>
      <c r="AV55" s="548"/>
      <c r="AW55" s="548"/>
      <c r="AX55" s="548"/>
      <c r="AY55" s="548"/>
      <c r="AZ55" s="548"/>
      <c r="BA55" s="548"/>
      <c r="BB55" s="548"/>
      <c r="BC55" s="548"/>
      <c r="BD55" s="548"/>
      <c r="BE55" s="548"/>
      <c r="BF55" s="548"/>
      <c r="BG55" s="548"/>
      <c r="BH55" s="548"/>
      <c r="BI55" s="548"/>
      <c r="BJ55" s="548"/>
      <c r="BK55" s="548"/>
      <c r="BL55" s="548"/>
      <c r="BM55" s="548"/>
      <c r="BN55" s="549"/>
      <c r="BO55" s="82"/>
      <c r="BP55" s="82"/>
      <c r="BQ55" s="82"/>
      <c r="BR55" s="82"/>
    </row>
    <row r="56" spans="1:75" ht="17.25" customHeight="1">
      <c r="A56" s="187"/>
      <c r="B56" s="188"/>
      <c r="C56" s="188"/>
      <c r="D56" s="188"/>
      <c r="E56" s="188"/>
      <c r="F56" s="189"/>
      <c r="G56" s="524" t="s">
        <v>134</v>
      </c>
      <c r="H56" s="525"/>
      <c r="I56" s="525"/>
      <c r="J56" s="525"/>
      <c r="K56" s="525"/>
      <c r="L56" s="525"/>
      <c r="M56" s="525"/>
      <c r="N56" s="525"/>
      <c r="O56" s="525"/>
      <c r="P56" s="525"/>
      <c r="Q56" s="525"/>
      <c r="R56" s="525"/>
      <c r="S56" s="525"/>
      <c r="T56" s="525"/>
      <c r="U56" s="525"/>
      <c r="V56" s="525"/>
      <c r="W56" s="525"/>
      <c r="X56" s="525"/>
      <c r="Y56" s="525"/>
      <c r="Z56" s="525"/>
      <c r="AA56" s="525"/>
      <c r="AB56" s="525"/>
      <c r="AC56" s="525"/>
      <c r="AD56" s="525"/>
      <c r="AE56" s="525"/>
      <c r="AF56" s="525"/>
      <c r="AG56" s="526"/>
      <c r="AH56" s="42"/>
      <c r="AI56" s="533"/>
      <c r="AJ56" s="25"/>
      <c r="AK56" s="25"/>
      <c r="AL56" s="25"/>
      <c r="AM56" s="25"/>
      <c r="AN56" s="25"/>
      <c r="AO56" s="25"/>
      <c r="AP56" s="25"/>
      <c r="AQ56" s="25"/>
      <c r="AR56" s="25"/>
      <c r="AS56" s="25"/>
      <c r="AT56" s="25"/>
      <c r="AU56" s="25"/>
      <c r="AV56" s="25"/>
      <c r="AW56" s="25"/>
      <c r="AX56" s="25"/>
      <c r="AY56" s="25"/>
      <c r="AZ56" s="25"/>
      <c r="BA56" s="25"/>
      <c r="BB56" s="25"/>
      <c r="BC56" s="25"/>
      <c r="BD56" s="25"/>
      <c r="BE56" s="25"/>
      <c r="BF56" s="25"/>
      <c r="BG56" s="25"/>
      <c r="BH56" s="25"/>
      <c r="BI56" s="25"/>
      <c r="BJ56" s="25"/>
      <c r="BK56" s="25"/>
      <c r="BL56" s="25"/>
      <c r="BM56" s="25"/>
      <c r="BN56" s="87"/>
      <c r="BO56" s="82"/>
      <c r="BP56" s="82"/>
      <c r="BQ56" s="82"/>
      <c r="BR56" s="82"/>
    </row>
    <row r="57" spans="1:75" ht="17.25" customHeight="1">
      <c r="A57" s="326" t="s">
        <v>56</v>
      </c>
      <c r="B57" s="326"/>
      <c r="C57" s="326"/>
      <c r="D57" s="326"/>
      <c r="E57" s="326"/>
      <c r="F57" s="326"/>
      <c r="G57" s="253"/>
      <c r="H57" s="253"/>
      <c r="I57" s="253"/>
      <c r="J57" s="253"/>
      <c r="K57" s="253"/>
      <c r="L57" s="253"/>
      <c r="M57" s="253"/>
      <c r="N57" s="253"/>
      <c r="O57" s="253"/>
      <c r="P57" s="253"/>
      <c r="Q57" s="253"/>
      <c r="R57" s="253"/>
      <c r="S57" s="253"/>
      <c r="T57" s="253"/>
      <c r="U57" s="253"/>
      <c r="V57" s="253"/>
      <c r="W57" s="253"/>
      <c r="X57" s="253"/>
      <c r="Y57" s="253"/>
      <c r="Z57" s="253"/>
      <c r="AA57" s="253"/>
      <c r="AB57" s="253"/>
      <c r="AC57" s="253"/>
      <c r="AD57" s="253"/>
      <c r="AE57" s="253"/>
      <c r="AF57" s="253"/>
      <c r="AG57" s="253"/>
      <c r="AH57" s="42"/>
      <c r="AI57" s="533"/>
      <c r="AJ57" s="550" t="s">
        <v>95</v>
      </c>
      <c r="AK57" s="551"/>
      <c r="AL57" s="552" t="s">
        <v>155</v>
      </c>
      <c r="AM57" s="552"/>
      <c r="AN57" s="552"/>
      <c r="AO57" s="552"/>
      <c r="AP57" s="552"/>
      <c r="AQ57" s="552"/>
      <c r="AR57" s="552"/>
      <c r="AS57" s="552"/>
      <c r="AT57" s="552"/>
      <c r="AU57" s="552"/>
      <c r="AV57" s="552"/>
      <c r="AW57" s="552"/>
      <c r="AX57" s="552"/>
      <c r="AY57" s="552"/>
      <c r="AZ57" s="552"/>
      <c r="BA57" s="552"/>
      <c r="BB57" s="552"/>
      <c r="BC57" s="552"/>
      <c r="BD57" s="552"/>
      <c r="BE57" s="552"/>
      <c r="BF57" s="552"/>
      <c r="BG57" s="552"/>
      <c r="BH57" s="552"/>
      <c r="BI57" s="552"/>
      <c r="BJ57" s="552"/>
      <c r="BK57" s="552"/>
      <c r="BL57" s="552"/>
      <c r="BM57" s="552"/>
      <c r="BN57" s="553"/>
      <c r="BO57" s="82"/>
      <c r="BP57" s="82"/>
      <c r="BQ57" s="82"/>
      <c r="BR57" s="82"/>
    </row>
    <row r="58" spans="1:75" ht="17.25" customHeight="1">
      <c r="A58" s="326"/>
      <c r="B58" s="326"/>
      <c r="C58" s="326"/>
      <c r="D58" s="326"/>
      <c r="E58" s="326"/>
      <c r="F58" s="326"/>
      <c r="G58" s="253"/>
      <c r="H58" s="253"/>
      <c r="I58" s="253"/>
      <c r="J58" s="253"/>
      <c r="K58" s="253"/>
      <c r="L58" s="253"/>
      <c r="M58" s="253"/>
      <c r="N58" s="253"/>
      <c r="O58" s="253"/>
      <c r="P58" s="253"/>
      <c r="Q58" s="253"/>
      <c r="R58" s="253"/>
      <c r="S58" s="253"/>
      <c r="T58" s="253"/>
      <c r="U58" s="253"/>
      <c r="V58" s="253"/>
      <c r="W58" s="253"/>
      <c r="X58" s="253"/>
      <c r="Y58" s="253"/>
      <c r="Z58" s="253"/>
      <c r="AA58" s="253"/>
      <c r="AB58" s="253"/>
      <c r="AC58" s="253"/>
      <c r="AD58" s="253"/>
      <c r="AE58" s="253"/>
      <c r="AF58" s="253"/>
      <c r="AG58" s="253"/>
      <c r="AH58" s="42"/>
      <c r="AI58" s="534"/>
      <c r="AJ58" s="58"/>
      <c r="AK58" s="58"/>
      <c r="AL58" s="58"/>
      <c r="AM58" s="58"/>
      <c r="AN58" s="58"/>
      <c r="AO58" s="58"/>
      <c r="AP58" s="58"/>
      <c r="AQ58" s="58"/>
      <c r="AR58" s="58"/>
      <c r="AS58" s="58"/>
      <c r="AT58" s="58"/>
      <c r="AU58" s="58"/>
      <c r="AV58" s="58"/>
      <c r="AW58" s="58"/>
      <c r="AX58" s="58"/>
      <c r="AY58" s="58"/>
      <c r="AZ58" s="58"/>
      <c r="BA58" s="58"/>
      <c r="BB58" s="58"/>
      <c r="BC58" s="58"/>
      <c r="BD58" s="58"/>
      <c r="BE58" s="58"/>
      <c r="BF58" s="58"/>
      <c r="BG58" s="58"/>
      <c r="BH58" s="58"/>
      <c r="BI58" s="58"/>
      <c r="BJ58" s="58"/>
      <c r="BK58" s="58"/>
      <c r="BL58" s="58"/>
      <c r="BM58" s="58"/>
      <c r="BN58" s="88"/>
      <c r="BO58" s="82"/>
      <c r="BP58" s="82"/>
      <c r="BQ58" s="82"/>
      <c r="BR58" s="82"/>
    </row>
    <row r="59" spans="1:75" ht="17.25" customHeight="1">
      <c r="A59" s="326"/>
      <c r="B59" s="326"/>
      <c r="C59" s="326"/>
      <c r="D59" s="326"/>
      <c r="E59" s="326"/>
      <c r="F59" s="326"/>
      <c r="G59" s="253"/>
      <c r="H59" s="253"/>
      <c r="I59" s="253"/>
      <c r="J59" s="253"/>
      <c r="K59" s="253"/>
      <c r="L59" s="253"/>
      <c r="M59" s="253"/>
      <c r="N59" s="253"/>
      <c r="O59" s="253"/>
      <c r="P59" s="253"/>
      <c r="Q59" s="253"/>
      <c r="R59" s="253"/>
      <c r="S59" s="253"/>
      <c r="T59" s="253"/>
      <c r="U59" s="253"/>
      <c r="V59" s="253"/>
      <c r="W59" s="253"/>
      <c r="X59" s="253"/>
      <c r="Y59" s="253"/>
      <c r="Z59" s="253"/>
      <c r="AA59" s="253"/>
      <c r="AB59" s="253"/>
      <c r="AC59" s="253"/>
      <c r="AD59" s="253"/>
      <c r="AE59" s="253"/>
      <c r="AF59" s="253"/>
      <c r="AG59" s="253"/>
      <c r="AH59" s="59"/>
      <c r="AI59" s="82"/>
      <c r="AJ59" s="59"/>
      <c r="AK59" s="59"/>
      <c r="AL59" s="59"/>
      <c r="AM59" s="59"/>
      <c r="AN59" s="59"/>
      <c r="AO59" s="59"/>
      <c r="AP59" s="59"/>
      <c r="AQ59" s="59"/>
      <c r="AR59" s="59"/>
      <c r="AS59" s="59"/>
      <c r="AT59" s="59"/>
      <c r="AU59" s="59"/>
      <c r="AV59" s="59"/>
      <c r="AW59" s="59"/>
      <c r="AX59" s="59"/>
      <c r="AY59" s="59"/>
      <c r="AZ59" s="59"/>
      <c r="BA59" s="59"/>
      <c r="BB59" s="59"/>
      <c r="BC59" s="59"/>
      <c r="BD59" s="59"/>
      <c r="BE59" s="59"/>
      <c r="BF59" s="59"/>
      <c r="BG59" s="59"/>
      <c r="BH59" s="59"/>
      <c r="BI59" s="59"/>
      <c r="BJ59" s="59"/>
      <c r="BK59" s="59"/>
      <c r="BL59" s="59"/>
      <c r="BM59" s="59"/>
      <c r="BN59" s="59"/>
      <c r="BO59" s="82"/>
      <c r="BP59" s="82"/>
      <c r="BQ59" s="82"/>
      <c r="BR59" s="82"/>
    </row>
    <row r="60" spans="1:75" ht="17.25" customHeight="1">
      <c r="A60" s="326"/>
      <c r="B60" s="326"/>
      <c r="C60" s="326"/>
      <c r="D60" s="326"/>
      <c r="E60" s="326"/>
      <c r="F60" s="326"/>
      <c r="G60" s="253"/>
      <c r="H60" s="253"/>
      <c r="I60" s="253"/>
      <c r="J60" s="253"/>
      <c r="K60" s="253"/>
      <c r="L60" s="253"/>
      <c r="M60" s="253"/>
      <c r="N60" s="253"/>
      <c r="O60" s="253"/>
      <c r="P60" s="253"/>
      <c r="Q60" s="253"/>
      <c r="R60" s="253"/>
      <c r="S60" s="253"/>
      <c r="T60" s="253"/>
      <c r="U60" s="253"/>
      <c r="V60" s="253"/>
      <c r="W60" s="253"/>
      <c r="X60" s="253"/>
      <c r="Y60" s="253"/>
      <c r="Z60" s="253"/>
      <c r="AA60" s="253"/>
      <c r="AB60" s="253"/>
      <c r="AC60" s="253"/>
      <c r="AD60" s="253"/>
      <c r="AE60" s="253"/>
      <c r="AF60" s="253"/>
      <c r="AG60" s="253"/>
      <c r="AH60" s="59"/>
      <c r="AI60" s="82"/>
      <c r="AJ60" s="59"/>
      <c r="AK60" s="59"/>
      <c r="AL60" s="59"/>
      <c r="AM60" s="59"/>
      <c r="AN60" s="59"/>
      <c r="AO60" s="59"/>
      <c r="AP60" s="59"/>
      <c r="AQ60" s="59"/>
      <c r="AR60" s="59"/>
      <c r="AS60" s="59"/>
      <c r="AT60" s="59"/>
      <c r="AU60" s="59"/>
      <c r="AV60" s="59"/>
      <c r="AW60" s="59"/>
      <c r="AX60" s="59"/>
      <c r="AY60" s="59"/>
      <c r="AZ60" s="59"/>
      <c r="BA60" s="59"/>
      <c r="BB60" s="59"/>
      <c r="BC60" s="59"/>
      <c r="BD60" s="59"/>
      <c r="BE60" s="59"/>
      <c r="BF60" s="59"/>
      <c r="BG60" s="59"/>
      <c r="BH60" s="59"/>
      <c r="BI60" s="59"/>
      <c r="BJ60" s="59"/>
      <c r="BK60" s="59"/>
      <c r="BL60" s="59"/>
      <c r="BM60" s="59"/>
      <c r="BN60" s="59"/>
      <c r="BO60" s="82"/>
      <c r="BP60" s="82"/>
      <c r="BQ60" s="82"/>
      <c r="BR60" s="82"/>
    </row>
    <row r="61" spans="1:75" ht="18" customHeight="1">
      <c r="AH61" s="25"/>
      <c r="BH61" s="82"/>
      <c r="BP61" s="82"/>
      <c r="BR61" s="82"/>
      <c r="BT61" s="82"/>
      <c r="BU61" s="82"/>
      <c r="BV61" s="82"/>
      <c r="BW61" s="82"/>
    </row>
    <row r="62" spans="1:75" ht="18" customHeight="1">
      <c r="AH62" s="25"/>
      <c r="BH62" s="82"/>
      <c r="BP62" s="82"/>
      <c r="BR62" s="82"/>
      <c r="BT62" s="82"/>
      <c r="BU62" s="82"/>
      <c r="BV62" s="82"/>
      <c r="BW62" s="82"/>
    </row>
    <row r="63" spans="1:75" ht="18" customHeight="1">
      <c r="AH63" s="25"/>
      <c r="BH63" s="82"/>
      <c r="BP63" s="82"/>
      <c r="BR63" s="82"/>
      <c r="BT63" s="82"/>
      <c r="BU63" s="82"/>
      <c r="BV63" s="82"/>
      <c r="BW63" s="82"/>
    </row>
    <row r="64" spans="1:75" ht="18" customHeight="1">
      <c r="AH64" s="25"/>
      <c r="BH64" s="82"/>
      <c r="BP64" s="82"/>
      <c r="BR64" s="82"/>
      <c r="BT64" s="82"/>
      <c r="BU64" s="82"/>
      <c r="BV64" s="82"/>
      <c r="BW64" s="82"/>
    </row>
    <row r="65" spans="59:66" ht="12.75" customHeight="1"/>
    <row r="72" spans="59:66">
      <c r="BG72" s="99" t="s">
        <v>62</v>
      </c>
      <c r="BH72" s="99"/>
      <c r="BI72" s="99"/>
      <c r="BJ72" s="99"/>
      <c r="BK72" s="99"/>
      <c r="BL72" s="99"/>
      <c r="BM72" s="99"/>
      <c r="BN72" s="99"/>
    </row>
  </sheetData>
  <mergeCells count="239">
    <mergeCell ref="BG72:BN72"/>
    <mergeCell ref="AR55:AS55"/>
    <mergeCell ref="AT55:BN55"/>
    <mergeCell ref="G56:AG56"/>
    <mergeCell ref="A57:F60"/>
    <mergeCell ref="G57:AG60"/>
    <mergeCell ref="AJ57:AK57"/>
    <mergeCell ref="AL57:BN57"/>
    <mergeCell ref="A55:F56"/>
    <mergeCell ref="G55:H55"/>
    <mergeCell ref="I55:AG55"/>
    <mergeCell ref="AK55:AL55"/>
    <mergeCell ref="AM55:AO55"/>
    <mergeCell ref="AP55:AQ55"/>
    <mergeCell ref="A53:F54"/>
    <mergeCell ref="G53:H53"/>
    <mergeCell ref="I53:AG53"/>
    <mergeCell ref="AK53:AL53"/>
    <mergeCell ref="AM53:AO53"/>
    <mergeCell ref="AP53:AQ53"/>
    <mergeCell ref="A51:F52"/>
    <mergeCell ref="G51:H52"/>
    <mergeCell ref="I51:AG52"/>
    <mergeCell ref="AK51:BN51"/>
    <mergeCell ref="AK52:AL52"/>
    <mergeCell ref="AM52:AO52"/>
    <mergeCell ref="AP52:AQ52"/>
    <mergeCell ref="AR52:AS52"/>
    <mergeCell ref="AT52:BN52"/>
    <mergeCell ref="AR53:AS53"/>
    <mergeCell ref="AT53:BN53"/>
    <mergeCell ref="G54:H54"/>
    <mergeCell ref="I54:AG54"/>
    <mergeCell ref="AK54:AL54"/>
    <mergeCell ref="AM54:AO54"/>
    <mergeCell ref="AP54:AQ54"/>
    <mergeCell ref="AR54:AS54"/>
    <mergeCell ref="AT54:BN54"/>
    <mergeCell ref="Q49:V49"/>
    <mergeCell ref="G50:H50"/>
    <mergeCell ref="AJ43:BN49"/>
    <mergeCell ref="G44:N44"/>
    <mergeCell ref="O44:AG44"/>
    <mergeCell ref="G45:N45"/>
    <mergeCell ref="O45:AG45"/>
    <mergeCell ref="G46:N46"/>
    <mergeCell ref="O46:AG46"/>
    <mergeCell ref="G47:N47"/>
    <mergeCell ref="O47:AG47"/>
    <mergeCell ref="W49:X49"/>
    <mergeCell ref="BC37:BN37"/>
    <mergeCell ref="A39:E40"/>
    <mergeCell ref="F39:K40"/>
    <mergeCell ref="A42:F47"/>
    <mergeCell ref="G42:N42"/>
    <mergeCell ref="O42:AG42"/>
    <mergeCell ref="AI42:BN42"/>
    <mergeCell ref="G43:N43"/>
    <mergeCell ref="O43:AG43"/>
    <mergeCell ref="AI43:AI58"/>
    <mergeCell ref="I50:N50"/>
    <mergeCell ref="O50:P50"/>
    <mergeCell ref="Q50:V50"/>
    <mergeCell ref="W50:X50"/>
    <mergeCell ref="AJ50:AK50"/>
    <mergeCell ref="AL50:BN50"/>
    <mergeCell ref="A48:F50"/>
    <mergeCell ref="G48:H48"/>
    <mergeCell ref="I48:N48"/>
    <mergeCell ref="O48:P48"/>
    <mergeCell ref="Q48:V48"/>
    <mergeCell ref="G49:H49"/>
    <mergeCell ref="I49:N49"/>
    <mergeCell ref="O49:P49"/>
    <mergeCell ref="A35:F36"/>
    <mergeCell ref="H35:N35"/>
    <mergeCell ref="P35:V35"/>
    <mergeCell ref="X35:AC35"/>
    <mergeCell ref="AF35:AL35"/>
    <mergeCell ref="AN35:AT35"/>
    <mergeCell ref="AV35:BA35"/>
    <mergeCell ref="BC35:BD35"/>
    <mergeCell ref="BE35:BI35"/>
    <mergeCell ref="H36:N36"/>
    <mergeCell ref="P36:V36"/>
    <mergeCell ref="X36:AC36"/>
    <mergeCell ref="AF36:AL36"/>
    <mergeCell ref="AN36:AT36"/>
    <mergeCell ref="AV36:BA36"/>
    <mergeCell ref="BA31:BN31"/>
    <mergeCell ref="B32:F33"/>
    <mergeCell ref="G32:K32"/>
    <mergeCell ref="P32:S33"/>
    <mergeCell ref="T32:AG32"/>
    <mergeCell ref="AI32:AM33"/>
    <mergeCell ref="AN32:AR32"/>
    <mergeCell ref="AH30:AH33"/>
    <mergeCell ref="AI30:AM31"/>
    <mergeCell ref="AN30:AR30"/>
    <mergeCell ref="AS30:AV33"/>
    <mergeCell ref="AW30:AZ31"/>
    <mergeCell ref="BA30:BN30"/>
    <mergeCell ref="AW32:AZ33"/>
    <mergeCell ref="BA32:BN32"/>
    <mergeCell ref="G33:K33"/>
    <mergeCell ref="T33:AG33"/>
    <mergeCell ref="AN33:AR33"/>
    <mergeCell ref="BA33:BN33"/>
    <mergeCell ref="A30:A33"/>
    <mergeCell ref="B30:F31"/>
    <mergeCell ref="G30:K30"/>
    <mergeCell ref="L30:O33"/>
    <mergeCell ref="P30:S31"/>
    <mergeCell ref="T30:AG30"/>
    <mergeCell ref="G31:K31"/>
    <mergeCell ref="T31:AG31"/>
    <mergeCell ref="AN31:AR31"/>
    <mergeCell ref="AN27:AR27"/>
    <mergeCell ref="BA27:BN27"/>
    <mergeCell ref="B28:F29"/>
    <mergeCell ref="G28:K28"/>
    <mergeCell ref="P28:S29"/>
    <mergeCell ref="T28:AG28"/>
    <mergeCell ref="AI28:AM29"/>
    <mergeCell ref="AN28:AR28"/>
    <mergeCell ref="AH26:AH29"/>
    <mergeCell ref="AI26:AM27"/>
    <mergeCell ref="AN26:AR26"/>
    <mergeCell ref="AS26:AV29"/>
    <mergeCell ref="AW26:AZ27"/>
    <mergeCell ref="BA26:BN26"/>
    <mergeCell ref="AW28:AZ29"/>
    <mergeCell ref="BA28:BN28"/>
    <mergeCell ref="G29:K29"/>
    <mergeCell ref="T29:AG29"/>
    <mergeCell ref="AN29:AR29"/>
    <mergeCell ref="BA29:BN29"/>
    <mergeCell ref="AN25:AR25"/>
    <mergeCell ref="BA25:BN25"/>
    <mergeCell ref="A26:A29"/>
    <mergeCell ref="B26:F27"/>
    <mergeCell ref="G26:K26"/>
    <mergeCell ref="L26:O29"/>
    <mergeCell ref="P26:S27"/>
    <mergeCell ref="T26:AG26"/>
    <mergeCell ref="P24:S25"/>
    <mergeCell ref="T24:AG24"/>
    <mergeCell ref="AI24:AM25"/>
    <mergeCell ref="AN24:AR24"/>
    <mergeCell ref="AW24:AZ25"/>
    <mergeCell ref="BA24:BN24"/>
    <mergeCell ref="AH22:AH25"/>
    <mergeCell ref="AI22:AM23"/>
    <mergeCell ref="AN22:AR22"/>
    <mergeCell ref="AS22:AV25"/>
    <mergeCell ref="AW22:AZ23"/>
    <mergeCell ref="BA22:BN22"/>
    <mergeCell ref="AN23:AR23"/>
    <mergeCell ref="BA23:BN23"/>
    <mergeCell ref="G27:K27"/>
    <mergeCell ref="T27:AG27"/>
    <mergeCell ref="A22:A25"/>
    <mergeCell ref="B22:F23"/>
    <mergeCell ref="G22:K22"/>
    <mergeCell ref="L22:O25"/>
    <mergeCell ref="P22:S23"/>
    <mergeCell ref="T22:AG22"/>
    <mergeCell ref="G23:K23"/>
    <mergeCell ref="T23:AG23"/>
    <mergeCell ref="B24:F25"/>
    <mergeCell ref="G24:K24"/>
    <mergeCell ref="G25:K25"/>
    <mergeCell ref="T25:AG25"/>
    <mergeCell ref="AH20:AH21"/>
    <mergeCell ref="AI20:AM21"/>
    <mergeCell ref="AN20:AR20"/>
    <mergeCell ref="AS20:AV21"/>
    <mergeCell ref="AW20:AZ21"/>
    <mergeCell ref="BA20:BN20"/>
    <mergeCell ref="AN21:AR21"/>
    <mergeCell ref="BA21:BN21"/>
    <mergeCell ref="A20:A21"/>
    <mergeCell ref="B20:F21"/>
    <mergeCell ref="G20:K20"/>
    <mergeCell ref="L20:O21"/>
    <mergeCell ref="P20:S21"/>
    <mergeCell ref="T20:AG20"/>
    <mergeCell ref="G21:K21"/>
    <mergeCell ref="T21:AG21"/>
    <mergeCell ref="AN15:BN18"/>
    <mergeCell ref="V16:AE16"/>
    <mergeCell ref="AF16:AG16"/>
    <mergeCell ref="A17:F18"/>
    <mergeCell ref="G17:O18"/>
    <mergeCell ref="P17:U18"/>
    <mergeCell ref="V17:AE17"/>
    <mergeCell ref="AF17:AG17"/>
    <mergeCell ref="V18:AE18"/>
    <mergeCell ref="AF18:AG18"/>
    <mergeCell ref="A15:F16"/>
    <mergeCell ref="G15:O16"/>
    <mergeCell ref="P15:U16"/>
    <mergeCell ref="V15:AE15"/>
    <mergeCell ref="AF15:AG15"/>
    <mergeCell ref="AH15:AM18"/>
    <mergeCell ref="AF13:AG14"/>
    <mergeCell ref="AH13:AM14"/>
    <mergeCell ref="AN13:AO13"/>
    <mergeCell ref="AP13:AU13"/>
    <mergeCell ref="AV13:AW13"/>
    <mergeCell ref="AX13:BC13"/>
    <mergeCell ref="AN14:BN14"/>
    <mergeCell ref="A13:F14"/>
    <mergeCell ref="G13:O14"/>
    <mergeCell ref="P13:Q14"/>
    <mergeCell ref="R13:Z14"/>
    <mergeCell ref="AA13:AB14"/>
    <mergeCell ref="AC13:AE14"/>
    <mergeCell ref="BE6:BN7"/>
    <mergeCell ref="A8:F9"/>
    <mergeCell ref="G8:AG8"/>
    <mergeCell ref="AH8:AM9"/>
    <mergeCell ref="AN8:BN9"/>
    <mergeCell ref="G9:M9"/>
    <mergeCell ref="N9:AG9"/>
    <mergeCell ref="BC1:BF1"/>
    <mergeCell ref="BG1:BJ1"/>
    <mergeCell ref="BK1:BN1"/>
    <mergeCell ref="AR2:AV4"/>
    <mergeCell ref="AY2:BB4"/>
    <mergeCell ref="BC2:BF4"/>
    <mergeCell ref="BG2:BJ4"/>
    <mergeCell ref="BK2:BN4"/>
    <mergeCell ref="A1:E2"/>
    <mergeCell ref="F1:K2"/>
    <mergeCell ref="R1:AQ3"/>
    <mergeCell ref="AR1:AV1"/>
    <mergeCell ref="AX1:AX4"/>
    <mergeCell ref="AY1:BB1"/>
  </mergeCells>
  <phoneticPr fontId="3"/>
  <dataValidations count="2">
    <dataValidation type="list" allowBlank="1" showInputMessage="1" showErrorMessage="1" sqref="AP52:AQ55">
      <formula1>"0,1,2,3,4,5,6,7,8,9"</formula1>
    </dataValidation>
    <dataValidation allowBlank="1" showInputMessage="1" showErrorMessage="1" prompt="日付は「旅行期間終了日」以降の日付を入力してください。" sqref="BE6:BN7"/>
  </dataValidations>
  <printOptions horizontalCentered="1"/>
  <pageMargins left="0.19685039370078741" right="0.19685039370078741" top="0.39370078740157483" bottom="0.19685039370078741" header="0.11811023622047245" footer="0.11811023622047245"/>
  <pageSetup paperSize="9" scale="95" orientation="landscape" r:id="rId1"/>
  <headerFooter>
    <oddFooter>&amp;L&amp;P</oddFooter>
  </headerFooter>
  <rowBreaks count="1" manualBreakCount="1">
    <brk id="37"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43009" r:id="rId4" name="Check Box 1">
              <controlPr defaultSize="0" autoFill="0" autoLine="0" autoPict="0">
                <anchor moveWithCells="1">
                  <from>
                    <xdr:col>39</xdr:col>
                    <xdr:colOff>45720</xdr:colOff>
                    <xdr:row>11</xdr:row>
                    <xdr:rowOff>228600</xdr:rowOff>
                  </from>
                  <to>
                    <xdr:col>40</xdr:col>
                    <xdr:colOff>121920</xdr:colOff>
                    <xdr:row>13</xdr:row>
                    <xdr:rowOff>22860</xdr:rowOff>
                  </to>
                </anchor>
              </controlPr>
            </control>
          </mc:Choice>
        </mc:AlternateContent>
        <mc:AlternateContent xmlns:mc="http://schemas.openxmlformats.org/markup-compatibility/2006">
          <mc:Choice Requires="x14">
            <control shapeId="43010" r:id="rId5" name="Check Box 2">
              <controlPr defaultSize="0" autoFill="0" autoLine="0" autoPict="0">
                <anchor moveWithCells="1">
                  <from>
                    <xdr:col>47</xdr:col>
                    <xdr:colOff>45720</xdr:colOff>
                    <xdr:row>11</xdr:row>
                    <xdr:rowOff>228600</xdr:rowOff>
                  </from>
                  <to>
                    <xdr:col>48</xdr:col>
                    <xdr:colOff>121920</xdr:colOff>
                    <xdr:row>13</xdr:row>
                    <xdr:rowOff>22860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W72"/>
  <sheetViews>
    <sheetView view="pageBreakPreview" zoomScaleNormal="100" zoomScaleSheetLayoutView="100" workbookViewId="0">
      <selection activeCell="T27" sqref="T27:AG27"/>
    </sheetView>
  </sheetViews>
  <sheetFormatPr defaultColWidth="1.8984375" defaultRowHeight="13.2"/>
  <cols>
    <col min="1" max="1" width="2" style="24" customWidth="1"/>
    <col min="2" max="2" width="2.3984375" style="24" customWidth="1"/>
    <col min="3" max="66" width="2" style="24" customWidth="1"/>
    <col min="67" max="16384" width="1.8984375" style="24"/>
  </cols>
  <sheetData>
    <row r="1" spans="1:66" ht="12.75" customHeight="1">
      <c r="A1" s="475" t="s">
        <v>68</v>
      </c>
      <c r="B1" s="475"/>
      <c r="C1" s="475"/>
      <c r="D1" s="475"/>
      <c r="E1" s="475"/>
      <c r="F1" s="475" t="s">
        <v>122</v>
      </c>
      <c r="G1" s="475"/>
      <c r="H1" s="475"/>
      <c r="I1" s="475"/>
      <c r="J1" s="475"/>
      <c r="K1" s="475"/>
      <c r="M1" s="62"/>
      <c r="N1" s="62"/>
      <c r="O1" s="62"/>
      <c r="R1" s="259" t="s">
        <v>119</v>
      </c>
      <c r="S1" s="259"/>
      <c r="T1" s="259"/>
      <c r="U1" s="259"/>
      <c r="V1" s="259"/>
      <c r="W1" s="259"/>
      <c r="X1" s="259"/>
      <c r="Y1" s="259"/>
      <c r="Z1" s="259"/>
      <c r="AA1" s="259"/>
      <c r="AB1" s="259"/>
      <c r="AC1" s="259"/>
      <c r="AD1" s="259"/>
      <c r="AE1" s="259"/>
      <c r="AF1" s="259"/>
      <c r="AG1" s="259"/>
      <c r="AH1" s="259"/>
      <c r="AI1" s="259"/>
      <c r="AJ1" s="259"/>
      <c r="AK1" s="259"/>
      <c r="AL1" s="259"/>
      <c r="AM1" s="259"/>
      <c r="AN1" s="259"/>
      <c r="AO1" s="259"/>
      <c r="AP1" s="259"/>
      <c r="AQ1" s="260"/>
      <c r="AR1" s="261" t="s">
        <v>9</v>
      </c>
      <c r="AS1" s="262"/>
      <c r="AT1" s="262"/>
      <c r="AU1" s="262"/>
      <c r="AV1" s="263"/>
      <c r="AX1" s="264" t="s">
        <v>38</v>
      </c>
      <c r="AY1" s="138" t="s">
        <v>6</v>
      </c>
      <c r="AZ1" s="139"/>
      <c r="BA1" s="139"/>
      <c r="BB1" s="140"/>
      <c r="BC1" s="267" t="s">
        <v>10</v>
      </c>
      <c r="BD1" s="267"/>
      <c r="BE1" s="267"/>
      <c r="BF1" s="267"/>
      <c r="BG1" s="267" t="s">
        <v>5</v>
      </c>
      <c r="BH1" s="267"/>
      <c r="BI1" s="267"/>
      <c r="BJ1" s="267"/>
      <c r="BK1" s="267" t="s">
        <v>4</v>
      </c>
      <c r="BL1" s="267"/>
      <c r="BM1" s="267"/>
      <c r="BN1" s="267"/>
    </row>
    <row r="2" spans="1:66" ht="12.75" customHeight="1">
      <c r="A2" s="475"/>
      <c r="B2" s="475"/>
      <c r="C2" s="475"/>
      <c r="D2" s="475"/>
      <c r="E2" s="475"/>
      <c r="F2" s="475"/>
      <c r="G2" s="475"/>
      <c r="H2" s="475"/>
      <c r="I2" s="475"/>
      <c r="J2" s="475"/>
      <c r="K2" s="475"/>
      <c r="L2" s="62"/>
      <c r="M2" s="62"/>
      <c r="N2" s="62"/>
      <c r="O2" s="62"/>
      <c r="P2" s="62"/>
      <c r="Q2" s="62"/>
      <c r="R2" s="259"/>
      <c r="S2" s="259"/>
      <c r="T2" s="259"/>
      <c r="U2" s="259"/>
      <c r="V2" s="259"/>
      <c r="W2" s="259"/>
      <c r="X2" s="259"/>
      <c r="Y2" s="259"/>
      <c r="Z2" s="259"/>
      <c r="AA2" s="259"/>
      <c r="AB2" s="259"/>
      <c r="AC2" s="259"/>
      <c r="AD2" s="259"/>
      <c r="AE2" s="259"/>
      <c r="AF2" s="259"/>
      <c r="AG2" s="259"/>
      <c r="AH2" s="259"/>
      <c r="AI2" s="259"/>
      <c r="AJ2" s="259"/>
      <c r="AK2" s="259"/>
      <c r="AL2" s="259"/>
      <c r="AM2" s="259"/>
      <c r="AN2" s="259"/>
      <c r="AO2" s="259"/>
      <c r="AP2" s="259"/>
      <c r="AQ2" s="260"/>
      <c r="AR2" s="138"/>
      <c r="AS2" s="139"/>
      <c r="AT2" s="139"/>
      <c r="AU2" s="139"/>
      <c r="AV2" s="140"/>
      <c r="AX2" s="265"/>
      <c r="AY2" s="274"/>
      <c r="AZ2" s="274"/>
      <c r="BA2" s="274"/>
      <c r="BB2" s="274"/>
      <c r="BC2" s="274"/>
      <c r="BD2" s="274"/>
      <c r="BE2" s="274"/>
      <c r="BF2" s="274"/>
      <c r="BG2" s="274"/>
      <c r="BH2" s="274"/>
      <c r="BI2" s="274"/>
      <c r="BJ2" s="274"/>
      <c r="BK2" s="274"/>
      <c r="BL2" s="274"/>
      <c r="BM2" s="274"/>
      <c r="BN2" s="274"/>
    </row>
    <row r="3" spans="1:66" ht="13.2" customHeight="1">
      <c r="G3" s="61"/>
      <c r="H3" s="61"/>
      <c r="I3" s="61"/>
      <c r="J3" s="61"/>
      <c r="K3" s="61"/>
      <c r="L3" s="62"/>
      <c r="M3" s="62"/>
      <c r="N3" s="62"/>
      <c r="O3" s="62"/>
      <c r="P3" s="62"/>
      <c r="Q3" s="62"/>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60"/>
      <c r="AR3" s="268"/>
      <c r="AS3" s="269"/>
      <c r="AT3" s="269"/>
      <c r="AU3" s="269"/>
      <c r="AV3" s="270"/>
      <c r="AX3" s="265"/>
      <c r="AY3" s="274"/>
      <c r="AZ3" s="274"/>
      <c r="BA3" s="274"/>
      <c r="BB3" s="274"/>
      <c r="BC3" s="274"/>
      <c r="BD3" s="274"/>
      <c r="BE3" s="274"/>
      <c r="BF3" s="274"/>
      <c r="BG3" s="274"/>
      <c r="BH3" s="274"/>
      <c r="BI3" s="274"/>
      <c r="BJ3" s="274"/>
      <c r="BK3" s="274"/>
      <c r="BL3" s="274"/>
      <c r="BM3" s="274"/>
      <c r="BN3" s="274"/>
    </row>
    <row r="4" spans="1:66" ht="13.2" customHeight="1">
      <c r="G4" s="59"/>
      <c r="I4" s="61"/>
      <c r="J4" s="61"/>
      <c r="K4" s="61"/>
      <c r="L4" s="61"/>
      <c r="M4" s="61"/>
      <c r="N4" s="61"/>
      <c r="O4" s="61"/>
      <c r="AQ4" s="41"/>
      <c r="AR4" s="271"/>
      <c r="AS4" s="272"/>
      <c r="AT4" s="272"/>
      <c r="AU4" s="272"/>
      <c r="AV4" s="273"/>
      <c r="AX4" s="266"/>
      <c r="AY4" s="274"/>
      <c r="AZ4" s="274"/>
      <c r="BA4" s="274"/>
      <c r="BB4" s="274"/>
      <c r="BC4" s="274"/>
      <c r="BD4" s="274"/>
      <c r="BE4" s="274"/>
      <c r="BF4" s="274"/>
      <c r="BG4" s="274"/>
      <c r="BH4" s="274"/>
      <c r="BI4" s="274"/>
      <c r="BJ4" s="274"/>
      <c r="BK4" s="274"/>
      <c r="BL4" s="274"/>
      <c r="BM4" s="274"/>
      <c r="BN4" s="274"/>
    </row>
    <row r="5" spans="1:66" ht="14.1" customHeight="1">
      <c r="G5" s="59"/>
      <c r="I5" s="59"/>
      <c r="J5" s="59"/>
      <c r="K5" s="59"/>
      <c r="L5" s="59"/>
      <c r="M5" s="59"/>
      <c r="N5" s="59"/>
      <c r="O5" s="59"/>
      <c r="P5" s="59"/>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41"/>
      <c r="AR5" s="60"/>
      <c r="AS5" s="60"/>
      <c r="AU5" s="59"/>
      <c r="AV5" s="59"/>
    </row>
    <row r="6" spans="1:66" ht="14.1" customHeight="1">
      <c r="A6" s="59" t="s">
        <v>37</v>
      </c>
      <c r="F6" s="59"/>
      <c r="G6" s="59"/>
      <c r="I6" s="59"/>
      <c r="J6" s="59"/>
      <c r="K6" s="59"/>
      <c r="L6" s="59"/>
      <c r="M6" s="59"/>
      <c r="N6" s="59"/>
      <c r="O6" s="59"/>
      <c r="P6" s="59"/>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U6" s="59"/>
      <c r="AV6" s="59"/>
      <c r="AY6" s="41"/>
      <c r="AZ6" s="41"/>
      <c r="BA6" s="41"/>
      <c r="BB6" s="41"/>
      <c r="BE6" s="269" t="s">
        <v>55</v>
      </c>
      <c r="BF6" s="269"/>
      <c r="BG6" s="269"/>
      <c r="BH6" s="269"/>
      <c r="BI6" s="269"/>
      <c r="BJ6" s="269"/>
      <c r="BK6" s="269"/>
      <c r="BL6" s="269"/>
      <c r="BM6" s="269"/>
      <c r="BN6" s="269"/>
    </row>
    <row r="7" spans="1:66" ht="14.1" customHeight="1">
      <c r="F7" s="59"/>
      <c r="G7" s="59"/>
      <c r="I7" s="59"/>
      <c r="J7" s="59"/>
      <c r="K7" s="59"/>
      <c r="L7" s="59"/>
      <c r="M7" s="59"/>
      <c r="N7" s="59"/>
      <c r="O7" s="59"/>
      <c r="P7" s="59"/>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U7" s="59"/>
      <c r="AV7" s="59"/>
      <c r="AY7" s="58"/>
      <c r="AZ7" s="58"/>
      <c r="BA7" s="58"/>
      <c r="BB7" s="58"/>
      <c r="BE7" s="272"/>
      <c r="BF7" s="272"/>
      <c r="BG7" s="272"/>
      <c r="BH7" s="272"/>
      <c r="BI7" s="272"/>
      <c r="BJ7" s="272"/>
      <c r="BK7" s="272"/>
      <c r="BL7" s="272"/>
      <c r="BM7" s="272"/>
      <c r="BN7" s="272"/>
    </row>
    <row r="8" spans="1:66" ht="18.75" customHeight="1">
      <c r="A8" s="172" t="s">
        <v>27</v>
      </c>
      <c r="B8" s="133"/>
      <c r="C8" s="133"/>
      <c r="D8" s="133"/>
      <c r="E8" s="133"/>
      <c r="F8" s="134"/>
      <c r="G8" s="277"/>
      <c r="H8" s="278"/>
      <c r="I8" s="278"/>
      <c r="J8" s="278"/>
      <c r="K8" s="278"/>
      <c r="L8" s="278"/>
      <c r="M8" s="278"/>
      <c r="N8" s="278"/>
      <c r="O8" s="278"/>
      <c r="P8" s="278"/>
      <c r="Q8" s="278"/>
      <c r="R8" s="278"/>
      <c r="S8" s="278"/>
      <c r="T8" s="278"/>
      <c r="U8" s="278"/>
      <c r="V8" s="278"/>
      <c r="W8" s="278"/>
      <c r="X8" s="278"/>
      <c r="Y8" s="278"/>
      <c r="Z8" s="278"/>
      <c r="AA8" s="278"/>
      <c r="AB8" s="278"/>
      <c r="AC8" s="278"/>
      <c r="AD8" s="278"/>
      <c r="AE8" s="278"/>
      <c r="AF8" s="278"/>
      <c r="AG8" s="279"/>
      <c r="AH8" s="172" t="s">
        <v>3</v>
      </c>
      <c r="AI8" s="133"/>
      <c r="AJ8" s="133"/>
      <c r="AK8" s="133"/>
      <c r="AL8" s="133"/>
      <c r="AM8" s="134"/>
      <c r="AN8" s="138"/>
      <c r="AO8" s="139"/>
      <c r="AP8" s="139"/>
      <c r="AQ8" s="139"/>
      <c r="AR8" s="139"/>
      <c r="AS8" s="139"/>
      <c r="AT8" s="139"/>
      <c r="AU8" s="139"/>
      <c r="AV8" s="139"/>
      <c r="AW8" s="139"/>
      <c r="AX8" s="139"/>
      <c r="AY8" s="139"/>
      <c r="AZ8" s="139"/>
      <c r="BA8" s="139"/>
      <c r="BB8" s="139"/>
      <c r="BC8" s="139"/>
      <c r="BD8" s="139"/>
      <c r="BE8" s="139"/>
      <c r="BF8" s="139"/>
      <c r="BG8" s="139"/>
      <c r="BH8" s="139"/>
      <c r="BI8" s="139"/>
      <c r="BJ8" s="139"/>
      <c r="BK8" s="139"/>
      <c r="BL8" s="139"/>
      <c r="BM8" s="139"/>
      <c r="BN8" s="140"/>
    </row>
    <row r="9" spans="1:66" ht="18.75" customHeight="1">
      <c r="A9" s="135"/>
      <c r="B9" s="136"/>
      <c r="C9" s="136"/>
      <c r="D9" s="136"/>
      <c r="E9" s="136"/>
      <c r="F9" s="137"/>
      <c r="G9" s="271" t="s">
        <v>26</v>
      </c>
      <c r="H9" s="272"/>
      <c r="I9" s="272"/>
      <c r="J9" s="272"/>
      <c r="K9" s="272"/>
      <c r="L9" s="272"/>
      <c r="M9" s="272"/>
      <c r="N9" s="298"/>
      <c r="O9" s="298"/>
      <c r="P9" s="298"/>
      <c r="Q9" s="298"/>
      <c r="R9" s="298"/>
      <c r="S9" s="298"/>
      <c r="T9" s="298"/>
      <c r="U9" s="298"/>
      <c r="V9" s="298"/>
      <c r="W9" s="298"/>
      <c r="X9" s="298"/>
      <c r="Y9" s="298"/>
      <c r="Z9" s="298"/>
      <c r="AA9" s="298"/>
      <c r="AB9" s="298"/>
      <c r="AC9" s="298"/>
      <c r="AD9" s="298"/>
      <c r="AE9" s="298"/>
      <c r="AF9" s="298"/>
      <c r="AG9" s="299"/>
      <c r="AH9" s="135"/>
      <c r="AI9" s="136"/>
      <c r="AJ9" s="136"/>
      <c r="AK9" s="136"/>
      <c r="AL9" s="136"/>
      <c r="AM9" s="137"/>
      <c r="AN9" s="271"/>
      <c r="AO9" s="272"/>
      <c r="AP9" s="272"/>
      <c r="AQ9" s="272"/>
      <c r="AR9" s="272"/>
      <c r="AS9" s="272"/>
      <c r="AT9" s="272"/>
      <c r="AU9" s="272"/>
      <c r="AV9" s="272"/>
      <c r="AW9" s="272"/>
      <c r="AX9" s="272"/>
      <c r="AY9" s="272"/>
      <c r="AZ9" s="272"/>
      <c r="BA9" s="272"/>
      <c r="BB9" s="272"/>
      <c r="BC9" s="272"/>
      <c r="BD9" s="272"/>
      <c r="BE9" s="272"/>
      <c r="BF9" s="272"/>
      <c r="BG9" s="272"/>
      <c r="BH9" s="272"/>
      <c r="BI9" s="272"/>
      <c r="BJ9" s="272"/>
      <c r="BK9" s="272"/>
      <c r="BL9" s="272"/>
      <c r="BM9" s="272"/>
      <c r="BN9" s="273"/>
    </row>
    <row r="10" spans="1:66" ht="17.25" customHeight="1"/>
    <row r="11" spans="1:66" ht="17.25" customHeight="1">
      <c r="B11" s="24" t="s">
        <v>88</v>
      </c>
    </row>
    <row r="12" spans="1:66" ht="6.75" customHeight="1"/>
    <row r="13" spans="1:66" ht="17.25" customHeight="1">
      <c r="A13" s="172" t="s">
        <v>0</v>
      </c>
      <c r="B13" s="133"/>
      <c r="C13" s="133"/>
      <c r="D13" s="133"/>
      <c r="E13" s="133"/>
      <c r="F13" s="134"/>
      <c r="G13" s="431">
        <v>43924</v>
      </c>
      <c r="H13" s="431"/>
      <c r="I13" s="431"/>
      <c r="J13" s="431"/>
      <c r="K13" s="431"/>
      <c r="L13" s="431"/>
      <c r="M13" s="431"/>
      <c r="N13" s="431"/>
      <c r="O13" s="432"/>
      <c r="P13" s="320" t="s">
        <v>2</v>
      </c>
      <c r="Q13" s="321"/>
      <c r="R13" s="433">
        <v>43928</v>
      </c>
      <c r="S13" s="431"/>
      <c r="T13" s="431"/>
      <c r="U13" s="431"/>
      <c r="V13" s="431"/>
      <c r="W13" s="431"/>
      <c r="X13" s="431"/>
      <c r="Y13" s="431"/>
      <c r="Z13" s="432"/>
      <c r="AA13" s="320" t="s">
        <v>1</v>
      </c>
      <c r="AB13" s="321"/>
      <c r="AC13" s="434">
        <v>5</v>
      </c>
      <c r="AD13" s="435"/>
      <c r="AE13" s="436"/>
      <c r="AF13" s="320" t="s">
        <v>8</v>
      </c>
      <c r="AG13" s="267"/>
      <c r="AH13" s="132" t="s">
        <v>87</v>
      </c>
      <c r="AI13" s="185"/>
      <c r="AJ13" s="185"/>
      <c r="AK13" s="185"/>
      <c r="AL13" s="185"/>
      <c r="AM13" s="186"/>
      <c r="AN13" s="280"/>
      <c r="AO13" s="281"/>
      <c r="AP13" s="300" t="s">
        <v>86</v>
      </c>
      <c r="AQ13" s="300"/>
      <c r="AR13" s="300"/>
      <c r="AS13" s="300"/>
      <c r="AT13" s="300"/>
      <c r="AU13" s="300"/>
      <c r="AV13" s="281"/>
      <c r="AW13" s="281"/>
      <c r="AX13" s="300" t="s">
        <v>85</v>
      </c>
      <c r="AY13" s="300"/>
      <c r="AZ13" s="300"/>
      <c r="BA13" s="300"/>
      <c r="BB13" s="300"/>
      <c r="BC13" s="300"/>
      <c r="BD13" s="57"/>
      <c r="BE13" s="57"/>
      <c r="BF13" s="57"/>
      <c r="BG13" s="57"/>
      <c r="BH13" s="57"/>
      <c r="BI13" s="57"/>
      <c r="BJ13" s="57"/>
      <c r="BK13" s="57"/>
      <c r="BL13" s="57"/>
      <c r="BM13" s="57"/>
      <c r="BN13" s="56"/>
    </row>
    <row r="14" spans="1:66" ht="17.25" customHeight="1">
      <c r="A14" s="135"/>
      <c r="B14" s="136"/>
      <c r="C14" s="136"/>
      <c r="D14" s="136"/>
      <c r="E14" s="136"/>
      <c r="F14" s="137"/>
      <c r="G14" s="431"/>
      <c r="H14" s="431"/>
      <c r="I14" s="431"/>
      <c r="J14" s="431"/>
      <c r="K14" s="431"/>
      <c r="L14" s="431"/>
      <c r="M14" s="431"/>
      <c r="N14" s="431"/>
      <c r="O14" s="432"/>
      <c r="P14" s="320"/>
      <c r="Q14" s="321"/>
      <c r="R14" s="433"/>
      <c r="S14" s="431"/>
      <c r="T14" s="431"/>
      <c r="U14" s="431"/>
      <c r="V14" s="431"/>
      <c r="W14" s="431"/>
      <c r="X14" s="431"/>
      <c r="Y14" s="431"/>
      <c r="Z14" s="432"/>
      <c r="AA14" s="320"/>
      <c r="AB14" s="321"/>
      <c r="AC14" s="434"/>
      <c r="AD14" s="435"/>
      <c r="AE14" s="436"/>
      <c r="AF14" s="320"/>
      <c r="AG14" s="267"/>
      <c r="AH14" s="343"/>
      <c r="AI14" s="344"/>
      <c r="AJ14" s="344"/>
      <c r="AK14" s="344"/>
      <c r="AL14" s="344"/>
      <c r="AM14" s="345"/>
      <c r="AN14" s="527"/>
      <c r="AO14" s="528"/>
      <c r="AP14" s="528"/>
      <c r="AQ14" s="528"/>
      <c r="AR14" s="528"/>
      <c r="AS14" s="528"/>
      <c r="AT14" s="528"/>
      <c r="AU14" s="528"/>
      <c r="AV14" s="528"/>
      <c r="AW14" s="528"/>
      <c r="AX14" s="528"/>
      <c r="AY14" s="528"/>
      <c r="AZ14" s="528"/>
      <c r="BA14" s="528"/>
      <c r="BB14" s="528"/>
      <c r="BC14" s="528"/>
      <c r="BD14" s="528"/>
      <c r="BE14" s="528"/>
      <c r="BF14" s="528"/>
      <c r="BG14" s="528"/>
      <c r="BH14" s="528"/>
      <c r="BI14" s="528"/>
      <c r="BJ14" s="528"/>
      <c r="BK14" s="528"/>
      <c r="BL14" s="528"/>
      <c r="BM14" s="528"/>
      <c r="BN14" s="529"/>
    </row>
    <row r="15" spans="1:66" ht="17.25" customHeight="1">
      <c r="A15" s="172" t="s">
        <v>52</v>
      </c>
      <c r="B15" s="133"/>
      <c r="C15" s="133"/>
      <c r="D15" s="133"/>
      <c r="E15" s="133"/>
      <c r="F15" s="134"/>
      <c r="G15" s="448" t="s">
        <v>100</v>
      </c>
      <c r="H15" s="449"/>
      <c r="I15" s="449"/>
      <c r="J15" s="449"/>
      <c r="K15" s="449"/>
      <c r="L15" s="449"/>
      <c r="M15" s="449"/>
      <c r="N15" s="449"/>
      <c r="O15" s="450"/>
      <c r="P15" s="185" t="s">
        <v>60</v>
      </c>
      <c r="Q15" s="133"/>
      <c r="R15" s="133"/>
      <c r="S15" s="133"/>
      <c r="T15" s="133"/>
      <c r="U15" s="288"/>
      <c r="V15" s="443" t="s">
        <v>101</v>
      </c>
      <c r="W15" s="409"/>
      <c r="X15" s="409"/>
      <c r="Y15" s="409"/>
      <c r="Z15" s="409"/>
      <c r="AA15" s="409"/>
      <c r="AB15" s="409"/>
      <c r="AC15" s="409"/>
      <c r="AD15" s="409"/>
      <c r="AE15" s="444"/>
      <c r="AF15" s="281" t="s">
        <v>40</v>
      </c>
      <c r="AG15" s="292"/>
      <c r="AH15" s="132" t="s">
        <v>141</v>
      </c>
      <c r="AI15" s="185"/>
      <c r="AJ15" s="185"/>
      <c r="AK15" s="185"/>
      <c r="AL15" s="185"/>
      <c r="AM15" s="186"/>
      <c r="AN15" s="413" t="s">
        <v>156</v>
      </c>
      <c r="AO15" s="414"/>
      <c r="AP15" s="414"/>
      <c r="AQ15" s="414"/>
      <c r="AR15" s="414"/>
      <c r="AS15" s="414"/>
      <c r="AT15" s="414"/>
      <c r="AU15" s="414"/>
      <c r="AV15" s="414"/>
      <c r="AW15" s="414"/>
      <c r="AX15" s="414"/>
      <c r="AY15" s="414"/>
      <c r="AZ15" s="414"/>
      <c r="BA15" s="414"/>
      <c r="BB15" s="414"/>
      <c r="BC15" s="414"/>
      <c r="BD15" s="414"/>
      <c r="BE15" s="414"/>
      <c r="BF15" s="414"/>
      <c r="BG15" s="414"/>
      <c r="BH15" s="414"/>
      <c r="BI15" s="414"/>
      <c r="BJ15" s="414"/>
      <c r="BK15" s="414"/>
      <c r="BL15" s="414"/>
      <c r="BM15" s="414"/>
      <c r="BN15" s="415"/>
    </row>
    <row r="16" spans="1:66" ht="17.25" customHeight="1">
      <c r="A16" s="135"/>
      <c r="B16" s="136"/>
      <c r="C16" s="136"/>
      <c r="D16" s="136"/>
      <c r="E16" s="136"/>
      <c r="F16" s="137"/>
      <c r="G16" s="451"/>
      <c r="H16" s="452"/>
      <c r="I16" s="452"/>
      <c r="J16" s="452"/>
      <c r="K16" s="452"/>
      <c r="L16" s="452"/>
      <c r="M16" s="452"/>
      <c r="N16" s="452"/>
      <c r="O16" s="453"/>
      <c r="P16" s="136"/>
      <c r="Q16" s="136"/>
      <c r="R16" s="136"/>
      <c r="S16" s="136"/>
      <c r="T16" s="136"/>
      <c r="U16" s="289"/>
      <c r="V16" s="454" t="s">
        <v>102</v>
      </c>
      <c r="W16" s="420"/>
      <c r="X16" s="420"/>
      <c r="Y16" s="420"/>
      <c r="Z16" s="420"/>
      <c r="AA16" s="420"/>
      <c r="AB16" s="420"/>
      <c r="AC16" s="420"/>
      <c r="AD16" s="420"/>
      <c r="AE16" s="455"/>
      <c r="AF16" s="272" t="s">
        <v>47</v>
      </c>
      <c r="AG16" s="273"/>
      <c r="AH16" s="343"/>
      <c r="AI16" s="344"/>
      <c r="AJ16" s="344"/>
      <c r="AK16" s="344"/>
      <c r="AL16" s="344"/>
      <c r="AM16" s="345"/>
      <c r="AN16" s="554"/>
      <c r="AO16" s="555"/>
      <c r="AP16" s="555"/>
      <c r="AQ16" s="555"/>
      <c r="AR16" s="555"/>
      <c r="AS16" s="555"/>
      <c r="AT16" s="555"/>
      <c r="AU16" s="555"/>
      <c r="AV16" s="555"/>
      <c r="AW16" s="555"/>
      <c r="AX16" s="555"/>
      <c r="AY16" s="555"/>
      <c r="AZ16" s="555"/>
      <c r="BA16" s="555"/>
      <c r="BB16" s="555"/>
      <c r="BC16" s="555"/>
      <c r="BD16" s="555"/>
      <c r="BE16" s="555"/>
      <c r="BF16" s="555"/>
      <c r="BG16" s="555"/>
      <c r="BH16" s="555"/>
      <c r="BI16" s="555"/>
      <c r="BJ16" s="555"/>
      <c r="BK16" s="555"/>
      <c r="BL16" s="555"/>
      <c r="BM16" s="555"/>
      <c r="BN16" s="556"/>
    </row>
    <row r="17" spans="1:66" ht="17.25" customHeight="1">
      <c r="A17" s="172" t="s">
        <v>51</v>
      </c>
      <c r="B17" s="133"/>
      <c r="C17" s="133"/>
      <c r="D17" s="133"/>
      <c r="E17" s="133"/>
      <c r="F17" s="134"/>
      <c r="G17" s="437" t="s">
        <v>103</v>
      </c>
      <c r="H17" s="438"/>
      <c r="I17" s="438"/>
      <c r="J17" s="438"/>
      <c r="K17" s="438"/>
      <c r="L17" s="438"/>
      <c r="M17" s="438"/>
      <c r="N17" s="438"/>
      <c r="O17" s="439"/>
      <c r="P17" s="185" t="s">
        <v>60</v>
      </c>
      <c r="Q17" s="133"/>
      <c r="R17" s="133"/>
      <c r="S17" s="133"/>
      <c r="T17" s="133"/>
      <c r="U17" s="288"/>
      <c r="V17" s="443" t="s">
        <v>104</v>
      </c>
      <c r="W17" s="409"/>
      <c r="X17" s="409"/>
      <c r="Y17" s="409"/>
      <c r="Z17" s="409"/>
      <c r="AA17" s="409"/>
      <c r="AB17" s="409"/>
      <c r="AC17" s="409"/>
      <c r="AD17" s="409"/>
      <c r="AE17" s="444"/>
      <c r="AF17" s="486" t="s">
        <v>40</v>
      </c>
      <c r="AG17" s="292"/>
      <c r="AH17" s="343"/>
      <c r="AI17" s="344"/>
      <c r="AJ17" s="344"/>
      <c r="AK17" s="344"/>
      <c r="AL17" s="344"/>
      <c r="AM17" s="345"/>
      <c r="AN17" s="554"/>
      <c r="AO17" s="555"/>
      <c r="AP17" s="555"/>
      <c r="AQ17" s="555"/>
      <c r="AR17" s="555"/>
      <c r="AS17" s="555"/>
      <c r="AT17" s="555"/>
      <c r="AU17" s="555"/>
      <c r="AV17" s="555"/>
      <c r="AW17" s="555"/>
      <c r="AX17" s="555"/>
      <c r="AY17" s="555"/>
      <c r="AZ17" s="555"/>
      <c r="BA17" s="555"/>
      <c r="BB17" s="555"/>
      <c r="BC17" s="555"/>
      <c r="BD17" s="555"/>
      <c r="BE17" s="555"/>
      <c r="BF17" s="555"/>
      <c r="BG17" s="555"/>
      <c r="BH17" s="555"/>
      <c r="BI17" s="555"/>
      <c r="BJ17" s="555"/>
      <c r="BK17" s="555"/>
      <c r="BL17" s="555"/>
      <c r="BM17" s="555"/>
      <c r="BN17" s="556"/>
    </row>
    <row r="18" spans="1:66" ht="17.25" customHeight="1">
      <c r="A18" s="135"/>
      <c r="B18" s="136"/>
      <c r="C18" s="136"/>
      <c r="D18" s="136"/>
      <c r="E18" s="136"/>
      <c r="F18" s="137"/>
      <c r="G18" s="440"/>
      <c r="H18" s="441"/>
      <c r="I18" s="441"/>
      <c r="J18" s="441"/>
      <c r="K18" s="441"/>
      <c r="L18" s="441"/>
      <c r="M18" s="441"/>
      <c r="N18" s="441"/>
      <c r="O18" s="442"/>
      <c r="P18" s="136"/>
      <c r="Q18" s="136"/>
      <c r="R18" s="136"/>
      <c r="S18" s="136"/>
      <c r="T18" s="136"/>
      <c r="U18" s="289"/>
      <c r="V18" s="445" t="s">
        <v>105</v>
      </c>
      <c r="W18" s="446"/>
      <c r="X18" s="446"/>
      <c r="Y18" s="446"/>
      <c r="Z18" s="446"/>
      <c r="AA18" s="446"/>
      <c r="AB18" s="446"/>
      <c r="AC18" s="446"/>
      <c r="AD18" s="446"/>
      <c r="AE18" s="447"/>
      <c r="AF18" s="272" t="s">
        <v>47</v>
      </c>
      <c r="AG18" s="273"/>
      <c r="AH18" s="187"/>
      <c r="AI18" s="188"/>
      <c r="AJ18" s="188"/>
      <c r="AK18" s="188"/>
      <c r="AL18" s="188"/>
      <c r="AM18" s="189"/>
      <c r="AN18" s="416"/>
      <c r="AO18" s="417"/>
      <c r="AP18" s="417"/>
      <c r="AQ18" s="417"/>
      <c r="AR18" s="417"/>
      <c r="AS18" s="417"/>
      <c r="AT18" s="417"/>
      <c r="AU18" s="417"/>
      <c r="AV18" s="417"/>
      <c r="AW18" s="417"/>
      <c r="AX18" s="417"/>
      <c r="AY18" s="417"/>
      <c r="AZ18" s="417"/>
      <c r="BA18" s="417"/>
      <c r="BB18" s="417"/>
      <c r="BC18" s="417"/>
      <c r="BD18" s="417"/>
      <c r="BE18" s="417"/>
      <c r="BF18" s="417"/>
      <c r="BG18" s="417"/>
      <c r="BH18" s="417"/>
      <c r="BI18" s="417"/>
      <c r="BJ18" s="417"/>
      <c r="BK18" s="417"/>
      <c r="BL18" s="417"/>
      <c r="BM18" s="417"/>
      <c r="BN18" s="418"/>
    </row>
    <row r="19" spans="1:66" ht="6.75" customHeight="1">
      <c r="BH19" s="82"/>
    </row>
    <row r="20" spans="1:66" ht="17.25" customHeight="1">
      <c r="A20" s="488"/>
      <c r="B20" s="172" t="s">
        <v>84</v>
      </c>
      <c r="C20" s="133"/>
      <c r="D20" s="133"/>
      <c r="E20" s="133"/>
      <c r="F20" s="134"/>
      <c r="G20" s="490" t="s">
        <v>142</v>
      </c>
      <c r="H20" s="491"/>
      <c r="I20" s="491"/>
      <c r="J20" s="491"/>
      <c r="K20" s="491"/>
      <c r="L20" s="132" t="s">
        <v>143</v>
      </c>
      <c r="M20" s="133"/>
      <c r="N20" s="133"/>
      <c r="O20" s="134"/>
      <c r="P20" s="133" t="s">
        <v>127</v>
      </c>
      <c r="Q20" s="133"/>
      <c r="R20" s="133"/>
      <c r="S20" s="134"/>
      <c r="T20" s="172" t="s">
        <v>128</v>
      </c>
      <c r="U20" s="133"/>
      <c r="V20" s="133"/>
      <c r="W20" s="133"/>
      <c r="X20" s="133"/>
      <c r="Y20" s="133"/>
      <c r="Z20" s="133"/>
      <c r="AA20" s="133"/>
      <c r="AB20" s="133"/>
      <c r="AC20" s="133"/>
      <c r="AD20" s="133"/>
      <c r="AE20" s="133"/>
      <c r="AF20" s="133"/>
      <c r="AG20" s="134"/>
      <c r="AH20" s="488"/>
      <c r="AI20" s="172" t="s">
        <v>84</v>
      </c>
      <c r="AJ20" s="133"/>
      <c r="AK20" s="133"/>
      <c r="AL20" s="133"/>
      <c r="AM20" s="134"/>
      <c r="AN20" s="490" t="s">
        <v>142</v>
      </c>
      <c r="AO20" s="491"/>
      <c r="AP20" s="491"/>
      <c r="AQ20" s="491"/>
      <c r="AR20" s="491"/>
      <c r="AS20" s="132" t="s">
        <v>143</v>
      </c>
      <c r="AT20" s="133"/>
      <c r="AU20" s="133"/>
      <c r="AV20" s="134"/>
      <c r="AW20" s="133" t="s">
        <v>127</v>
      </c>
      <c r="AX20" s="133"/>
      <c r="AY20" s="133"/>
      <c r="AZ20" s="134"/>
      <c r="BA20" s="172" t="s">
        <v>128</v>
      </c>
      <c r="BB20" s="133"/>
      <c r="BC20" s="133"/>
      <c r="BD20" s="133"/>
      <c r="BE20" s="133"/>
      <c r="BF20" s="133"/>
      <c r="BG20" s="133"/>
      <c r="BH20" s="133"/>
      <c r="BI20" s="133"/>
      <c r="BJ20" s="133"/>
      <c r="BK20" s="133"/>
      <c r="BL20" s="133"/>
      <c r="BM20" s="133"/>
      <c r="BN20" s="134"/>
    </row>
    <row r="21" spans="1:66" ht="17.25" customHeight="1">
      <c r="A21" s="489"/>
      <c r="B21" s="135"/>
      <c r="C21" s="136"/>
      <c r="D21" s="136"/>
      <c r="E21" s="136"/>
      <c r="F21" s="137"/>
      <c r="G21" s="135" t="s">
        <v>129</v>
      </c>
      <c r="H21" s="136"/>
      <c r="I21" s="136"/>
      <c r="J21" s="136"/>
      <c r="K21" s="136"/>
      <c r="L21" s="135"/>
      <c r="M21" s="136"/>
      <c r="N21" s="136"/>
      <c r="O21" s="137"/>
      <c r="P21" s="136"/>
      <c r="Q21" s="136"/>
      <c r="R21" s="136"/>
      <c r="S21" s="137"/>
      <c r="T21" s="135" t="s">
        <v>131</v>
      </c>
      <c r="U21" s="136"/>
      <c r="V21" s="136"/>
      <c r="W21" s="136"/>
      <c r="X21" s="136"/>
      <c r="Y21" s="136"/>
      <c r="Z21" s="136"/>
      <c r="AA21" s="136"/>
      <c r="AB21" s="136"/>
      <c r="AC21" s="136"/>
      <c r="AD21" s="136"/>
      <c r="AE21" s="136"/>
      <c r="AF21" s="136"/>
      <c r="AG21" s="137"/>
      <c r="AH21" s="489"/>
      <c r="AI21" s="135"/>
      <c r="AJ21" s="136"/>
      <c r="AK21" s="136"/>
      <c r="AL21" s="136"/>
      <c r="AM21" s="137"/>
      <c r="AN21" s="135" t="s">
        <v>129</v>
      </c>
      <c r="AO21" s="136"/>
      <c r="AP21" s="136"/>
      <c r="AQ21" s="136"/>
      <c r="AR21" s="136"/>
      <c r="AS21" s="135"/>
      <c r="AT21" s="136"/>
      <c r="AU21" s="136"/>
      <c r="AV21" s="137"/>
      <c r="AW21" s="136"/>
      <c r="AX21" s="136"/>
      <c r="AY21" s="136"/>
      <c r="AZ21" s="137"/>
      <c r="BA21" s="135" t="s">
        <v>131</v>
      </c>
      <c r="BB21" s="136"/>
      <c r="BC21" s="136"/>
      <c r="BD21" s="136"/>
      <c r="BE21" s="136"/>
      <c r="BF21" s="136"/>
      <c r="BG21" s="136"/>
      <c r="BH21" s="136"/>
      <c r="BI21" s="136"/>
      <c r="BJ21" s="136"/>
      <c r="BK21" s="136"/>
      <c r="BL21" s="136"/>
      <c r="BM21" s="136"/>
      <c r="BN21" s="137"/>
    </row>
    <row r="22" spans="1:66" ht="15.75" customHeight="1">
      <c r="A22" s="488">
        <v>1</v>
      </c>
      <c r="B22" s="456">
        <v>43924</v>
      </c>
      <c r="C22" s="457"/>
      <c r="D22" s="457"/>
      <c r="E22" s="457"/>
      <c r="F22" s="458"/>
      <c r="G22" s="560" t="s">
        <v>157</v>
      </c>
      <c r="H22" s="561"/>
      <c r="I22" s="561"/>
      <c r="J22" s="561"/>
      <c r="K22" s="562"/>
      <c r="L22" s="448" t="s">
        <v>158</v>
      </c>
      <c r="M22" s="449"/>
      <c r="N22" s="449"/>
      <c r="O22" s="563"/>
      <c r="P22" s="448" t="s">
        <v>159</v>
      </c>
      <c r="Q22" s="449"/>
      <c r="R22" s="449"/>
      <c r="S22" s="563"/>
      <c r="T22" s="571" t="s">
        <v>160</v>
      </c>
      <c r="U22" s="572"/>
      <c r="V22" s="572"/>
      <c r="W22" s="572"/>
      <c r="X22" s="572"/>
      <c r="Y22" s="572"/>
      <c r="Z22" s="572"/>
      <c r="AA22" s="572"/>
      <c r="AB22" s="572"/>
      <c r="AC22" s="572"/>
      <c r="AD22" s="572"/>
      <c r="AE22" s="572"/>
      <c r="AF22" s="572"/>
      <c r="AG22" s="573"/>
      <c r="AH22" s="488">
        <v>4</v>
      </c>
      <c r="AI22" s="456">
        <v>43927</v>
      </c>
      <c r="AJ22" s="457"/>
      <c r="AK22" s="457"/>
      <c r="AL22" s="457"/>
      <c r="AM22" s="458"/>
      <c r="AN22" s="560" t="s">
        <v>161</v>
      </c>
      <c r="AO22" s="561"/>
      <c r="AP22" s="561"/>
      <c r="AQ22" s="561"/>
      <c r="AR22" s="562"/>
      <c r="AS22" s="448" t="s">
        <v>162</v>
      </c>
      <c r="AT22" s="449"/>
      <c r="AU22" s="449"/>
      <c r="AV22" s="563"/>
      <c r="AW22" s="448" t="s">
        <v>163</v>
      </c>
      <c r="AX22" s="449"/>
      <c r="AY22" s="449"/>
      <c r="AZ22" s="563"/>
      <c r="BA22" s="571" t="s">
        <v>160</v>
      </c>
      <c r="BB22" s="572"/>
      <c r="BC22" s="572"/>
      <c r="BD22" s="572"/>
      <c r="BE22" s="572"/>
      <c r="BF22" s="572"/>
      <c r="BG22" s="572"/>
      <c r="BH22" s="572"/>
      <c r="BI22" s="572"/>
      <c r="BJ22" s="572"/>
      <c r="BK22" s="572"/>
      <c r="BL22" s="572"/>
      <c r="BM22" s="572"/>
      <c r="BN22" s="573"/>
    </row>
    <row r="23" spans="1:66" ht="15.75" customHeight="1">
      <c r="A23" s="492"/>
      <c r="B23" s="557"/>
      <c r="C23" s="558"/>
      <c r="D23" s="558"/>
      <c r="E23" s="558"/>
      <c r="F23" s="559"/>
      <c r="G23" s="574">
        <v>0.60763888888888895</v>
      </c>
      <c r="H23" s="575"/>
      <c r="I23" s="575"/>
      <c r="J23" s="575"/>
      <c r="K23" s="576"/>
      <c r="L23" s="564"/>
      <c r="M23" s="565"/>
      <c r="N23" s="565"/>
      <c r="O23" s="566"/>
      <c r="P23" s="568"/>
      <c r="Q23" s="569"/>
      <c r="R23" s="569"/>
      <c r="S23" s="570"/>
      <c r="T23" s="577"/>
      <c r="U23" s="578"/>
      <c r="V23" s="578"/>
      <c r="W23" s="578"/>
      <c r="X23" s="578"/>
      <c r="Y23" s="578"/>
      <c r="Z23" s="578"/>
      <c r="AA23" s="578"/>
      <c r="AB23" s="578"/>
      <c r="AC23" s="578"/>
      <c r="AD23" s="578"/>
      <c r="AE23" s="578"/>
      <c r="AF23" s="578"/>
      <c r="AG23" s="579"/>
      <c r="AH23" s="492"/>
      <c r="AI23" s="557"/>
      <c r="AJ23" s="558"/>
      <c r="AK23" s="558"/>
      <c r="AL23" s="558"/>
      <c r="AM23" s="559"/>
      <c r="AN23" s="574">
        <v>0.53472222222222221</v>
      </c>
      <c r="AO23" s="575"/>
      <c r="AP23" s="575"/>
      <c r="AQ23" s="575"/>
      <c r="AR23" s="576"/>
      <c r="AS23" s="564"/>
      <c r="AT23" s="565"/>
      <c r="AU23" s="565"/>
      <c r="AV23" s="566"/>
      <c r="AW23" s="568"/>
      <c r="AX23" s="569"/>
      <c r="AY23" s="569"/>
      <c r="AZ23" s="570"/>
      <c r="BA23" s="577"/>
      <c r="BB23" s="578"/>
      <c r="BC23" s="578"/>
      <c r="BD23" s="578"/>
      <c r="BE23" s="578"/>
      <c r="BF23" s="578"/>
      <c r="BG23" s="578"/>
      <c r="BH23" s="578"/>
      <c r="BI23" s="578"/>
      <c r="BJ23" s="578"/>
      <c r="BK23" s="578"/>
      <c r="BL23" s="578"/>
      <c r="BM23" s="578"/>
      <c r="BN23" s="579"/>
    </row>
    <row r="24" spans="1:66" ht="15.75" customHeight="1">
      <c r="A24" s="492"/>
      <c r="B24" s="580">
        <v>43924</v>
      </c>
      <c r="C24" s="581"/>
      <c r="D24" s="581"/>
      <c r="E24" s="581"/>
      <c r="F24" s="582"/>
      <c r="G24" s="568" t="s">
        <v>164</v>
      </c>
      <c r="H24" s="569"/>
      <c r="I24" s="569"/>
      <c r="J24" s="569"/>
      <c r="K24" s="569"/>
      <c r="L24" s="564"/>
      <c r="M24" s="565"/>
      <c r="N24" s="565"/>
      <c r="O24" s="566"/>
      <c r="P24" s="565" t="s">
        <v>165</v>
      </c>
      <c r="Q24" s="565"/>
      <c r="R24" s="565"/>
      <c r="S24" s="566"/>
      <c r="T24" s="585"/>
      <c r="U24" s="586"/>
      <c r="V24" s="586"/>
      <c r="W24" s="586"/>
      <c r="X24" s="586"/>
      <c r="Y24" s="586"/>
      <c r="Z24" s="586"/>
      <c r="AA24" s="586"/>
      <c r="AB24" s="586"/>
      <c r="AC24" s="586"/>
      <c r="AD24" s="586"/>
      <c r="AE24" s="586"/>
      <c r="AF24" s="586"/>
      <c r="AG24" s="587"/>
      <c r="AH24" s="492"/>
      <c r="AI24" s="580">
        <v>43928</v>
      </c>
      <c r="AJ24" s="581"/>
      <c r="AK24" s="581"/>
      <c r="AL24" s="581"/>
      <c r="AM24" s="582"/>
      <c r="AN24" s="568" t="s">
        <v>164</v>
      </c>
      <c r="AO24" s="569"/>
      <c r="AP24" s="569"/>
      <c r="AQ24" s="569"/>
      <c r="AR24" s="569"/>
      <c r="AS24" s="564"/>
      <c r="AT24" s="565"/>
      <c r="AU24" s="565"/>
      <c r="AV24" s="566"/>
      <c r="AW24" s="565" t="s">
        <v>165</v>
      </c>
      <c r="AX24" s="565"/>
      <c r="AY24" s="565"/>
      <c r="AZ24" s="566"/>
      <c r="BA24" s="585"/>
      <c r="BB24" s="586"/>
      <c r="BC24" s="586"/>
      <c r="BD24" s="586"/>
      <c r="BE24" s="586"/>
      <c r="BF24" s="586"/>
      <c r="BG24" s="586"/>
      <c r="BH24" s="586"/>
      <c r="BI24" s="586"/>
      <c r="BJ24" s="586"/>
      <c r="BK24" s="586"/>
      <c r="BL24" s="586"/>
      <c r="BM24" s="586"/>
      <c r="BN24" s="587"/>
    </row>
    <row r="25" spans="1:66" ht="15.75" customHeight="1">
      <c r="A25" s="489"/>
      <c r="B25" s="459"/>
      <c r="C25" s="460"/>
      <c r="D25" s="460"/>
      <c r="E25" s="460"/>
      <c r="F25" s="461"/>
      <c r="G25" s="583">
        <v>0.66319444444444442</v>
      </c>
      <c r="H25" s="584"/>
      <c r="I25" s="584"/>
      <c r="J25" s="584"/>
      <c r="K25" s="584"/>
      <c r="L25" s="451"/>
      <c r="M25" s="452"/>
      <c r="N25" s="452"/>
      <c r="O25" s="567"/>
      <c r="P25" s="452"/>
      <c r="Q25" s="452"/>
      <c r="R25" s="452"/>
      <c r="S25" s="567"/>
      <c r="T25" s="416"/>
      <c r="U25" s="417"/>
      <c r="V25" s="417"/>
      <c r="W25" s="417"/>
      <c r="X25" s="417"/>
      <c r="Y25" s="417"/>
      <c r="Z25" s="417"/>
      <c r="AA25" s="417"/>
      <c r="AB25" s="417"/>
      <c r="AC25" s="417"/>
      <c r="AD25" s="417"/>
      <c r="AE25" s="417"/>
      <c r="AF25" s="417"/>
      <c r="AG25" s="418"/>
      <c r="AH25" s="489"/>
      <c r="AI25" s="459"/>
      <c r="AJ25" s="460"/>
      <c r="AK25" s="460"/>
      <c r="AL25" s="460"/>
      <c r="AM25" s="461"/>
      <c r="AN25" s="583">
        <v>0.71527777777777779</v>
      </c>
      <c r="AO25" s="584"/>
      <c r="AP25" s="584"/>
      <c r="AQ25" s="584"/>
      <c r="AR25" s="584"/>
      <c r="AS25" s="451"/>
      <c r="AT25" s="452"/>
      <c r="AU25" s="452"/>
      <c r="AV25" s="567"/>
      <c r="AW25" s="452"/>
      <c r="AX25" s="452"/>
      <c r="AY25" s="452"/>
      <c r="AZ25" s="567"/>
      <c r="BA25" s="416"/>
      <c r="BB25" s="417"/>
      <c r="BC25" s="417"/>
      <c r="BD25" s="417"/>
      <c r="BE25" s="417"/>
      <c r="BF25" s="417"/>
      <c r="BG25" s="417"/>
      <c r="BH25" s="417"/>
      <c r="BI25" s="417"/>
      <c r="BJ25" s="417"/>
      <c r="BK25" s="417"/>
      <c r="BL25" s="417"/>
      <c r="BM25" s="417"/>
      <c r="BN25" s="418"/>
    </row>
    <row r="26" spans="1:66" ht="15.75" customHeight="1">
      <c r="A26" s="488">
        <v>2</v>
      </c>
      <c r="B26" s="456">
        <v>43924</v>
      </c>
      <c r="C26" s="457"/>
      <c r="D26" s="457"/>
      <c r="E26" s="457"/>
      <c r="F26" s="458"/>
      <c r="G26" s="560" t="s">
        <v>164</v>
      </c>
      <c r="H26" s="561"/>
      <c r="I26" s="561"/>
      <c r="J26" s="561"/>
      <c r="K26" s="562"/>
      <c r="L26" s="448" t="s">
        <v>166</v>
      </c>
      <c r="M26" s="449"/>
      <c r="N26" s="449"/>
      <c r="O26" s="563"/>
      <c r="P26" s="448" t="s">
        <v>165</v>
      </c>
      <c r="Q26" s="449"/>
      <c r="R26" s="449"/>
      <c r="S26" s="563"/>
      <c r="T26" s="571" t="s">
        <v>160</v>
      </c>
      <c r="U26" s="572"/>
      <c r="V26" s="572"/>
      <c r="W26" s="572"/>
      <c r="X26" s="572"/>
      <c r="Y26" s="572"/>
      <c r="Z26" s="572"/>
      <c r="AA26" s="572"/>
      <c r="AB26" s="572"/>
      <c r="AC26" s="572"/>
      <c r="AD26" s="572"/>
      <c r="AE26" s="572"/>
      <c r="AF26" s="572"/>
      <c r="AG26" s="573"/>
      <c r="AH26" s="488">
        <v>5</v>
      </c>
      <c r="AI26" s="456">
        <v>43928</v>
      </c>
      <c r="AJ26" s="457"/>
      <c r="AK26" s="457"/>
      <c r="AL26" s="457"/>
      <c r="AM26" s="458"/>
      <c r="AN26" s="560" t="s">
        <v>164</v>
      </c>
      <c r="AO26" s="561"/>
      <c r="AP26" s="561"/>
      <c r="AQ26" s="561"/>
      <c r="AR26" s="562"/>
      <c r="AS26" s="448" t="s">
        <v>167</v>
      </c>
      <c r="AT26" s="449"/>
      <c r="AU26" s="449"/>
      <c r="AV26" s="563"/>
      <c r="AW26" s="448" t="s">
        <v>165</v>
      </c>
      <c r="AX26" s="449"/>
      <c r="AY26" s="449"/>
      <c r="AZ26" s="563"/>
      <c r="BA26" s="571" t="s">
        <v>160</v>
      </c>
      <c r="BB26" s="572"/>
      <c r="BC26" s="572"/>
      <c r="BD26" s="572"/>
      <c r="BE26" s="572"/>
      <c r="BF26" s="572"/>
      <c r="BG26" s="572"/>
      <c r="BH26" s="572"/>
      <c r="BI26" s="572"/>
      <c r="BJ26" s="572"/>
      <c r="BK26" s="572"/>
      <c r="BL26" s="572"/>
      <c r="BM26" s="572"/>
      <c r="BN26" s="573"/>
    </row>
    <row r="27" spans="1:66" ht="15.75" customHeight="1">
      <c r="A27" s="492"/>
      <c r="B27" s="557"/>
      <c r="C27" s="558"/>
      <c r="D27" s="558"/>
      <c r="E27" s="558"/>
      <c r="F27" s="559"/>
      <c r="G27" s="574">
        <v>0.8125</v>
      </c>
      <c r="H27" s="575"/>
      <c r="I27" s="575"/>
      <c r="J27" s="575"/>
      <c r="K27" s="576"/>
      <c r="L27" s="564"/>
      <c r="M27" s="565"/>
      <c r="N27" s="565"/>
      <c r="O27" s="566"/>
      <c r="P27" s="568"/>
      <c r="Q27" s="569"/>
      <c r="R27" s="569"/>
      <c r="S27" s="570"/>
      <c r="T27" s="577"/>
      <c r="U27" s="578"/>
      <c r="V27" s="578"/>
      <c r="W27" s="578"/>
      <c r="X27" s="578"/>
      <c r="Y27" s="578"/>
      <c r="Z27" s="578"/>
      <c r="AA27" s="578"/>
      <c r="AB27" s="578"/>
      <c r="AC27" s="578"/>
      <c r="AD27" s="578"/>
      <c r="AE27" s="578"/>
      <c r="AF27" s="578"/>
      <c r="AG27" s="579"/>
      <c r="AH27" s="492"/>
      <c r="AI27" s="557"/>
      <c r="AJ27" s="558"/>
      <c r="AK27" s="558"/>
      <c r="AL27" s="558"/>
      <c r="AM27" s="559"/>
      <c r="AN27" s="574">
        <v>0.79166666666666663</v>
      </c>
      <c r="AO27" s="575"/>
      <c r="AP27" s="575"/>
      <c r="AQ27" s="575"/>
      <c r="AR27" s="576"/>
      <c r="AS27" s="564"/>
      <c r="AT27" s="565"/>
      <c r="AU27" s="565"/>
      <c r="AV27" s="566"/>
      <c r="AW27" s="568"/>
      <c r="AX27" s="569"/>
      <c r="AY27" s="569"/>
      <c r="AZ27" s="570"/>
      <c r="BA27" s="577"/>
      <c r="BB27" s="578"/>
      <c r="BC27" s="578"/>
      <c r="BD27" s="578"/>
      <c r="BE27" s="578"/>
      <c r="BF27" s="578"/>
      <c r="BG27" s="578"/>
      <c r="BH27" s="578"/>
      <c r="BI27" s="578"/>
      <c r="BJ27" s="578"/>
      <c r="BK27" s="578"/>
      <c r="BL27" s="578"/>
      <c r="BM27" s="578"/>
      <c r="BN27" s="579"/>
    </row>
    <row r="28" spans="1:66" ht="15.75" customHeight="1">
      <c r="A28" s="492"/>
      <c r="B28" s="580">
        <v>43924</v>
      </c>
      <c r="C28" s="581"/>
      <c r="D28" s="581"/>
      <c r="E28" s="581"/>
      <c r="F28" s="582"/>
      <c r="G28" s="568" t="s">
        <v>161</v>
      </c>
      <c r="H28" s="569"/>
      <c r="I28" s="569"/>
      <c r="J28" s="569"/>
      <c r="K28" s="569"/>
      <c r="L28" s="564"/>
      <c r="M28" s="565"/>
      <c r="N28" s="565"/>
      <c r="O28" s="566"/>
      <c r="P28" s="565" t="s">
        <v>168</v>
      </c>
      <c r="Q28" s="565"/>
      <c r="R28" s="565"/>
      <c r="S28" s="566"/>
      <c r="T28" s="585" t="s">
        <v>169</v>
      </c>
      <c r="U28" s="586"/>
      <c r="V28" s="586"/>
      <c r="W28" s="586"/>
      <c r="X28" s="586"/>
      <c r="Y28" s="586"/>
      <c r="Z28" s="586"/>
      <c r="AA28" s="586"/>
      <c r="AB28" s="586"/>
      <c r="AC28" s="586"/>
      <c r="AD28" s="586"/>
      <c r="AE28" s="586"/>
      <c r="AF28" s="586"/>
      <c r="AG28" s="587"/>
      <c r="AH28" s="492"/>
      <c r="AI28" s="580">
        <v>43928</v>
      </c>
      <c r="AJ28" s="581"/>
      <c r="AK28" s="581"/>
      <c r="AL28" s="581"/>
      <c r="AM28" s="582"/>
      <c r="AN28" s="568" t="s">
        <v>157</v>
      </c>
      <c r="AO28" s="569"/>
      <c r="AP28" s="569"/>
      <c r="AQ28" s="569"/>
      <c r="AR28" s="569"/>
      <c r="AS28" s="564"/>
      <c r="AT28" s="565"/>
      <c r="AU28" s="565"/>
      <c r="AV28" s="566"/>
      <c r="AW28" s="565" t="s">
        <v>165</v>
      </c>
      <c r="AX28" s="565"/>
      <c r="AY28" s="565"/>
      <c r="AZ28" s="566"/>
      <c r="BA28" s="585"/>
      <c r="BB28" s="586"/>
      <c r="BC28" s="586"/>
      <c r="BD28" s="586"/>
      <c r="BE28" s="586"/>
      <c r="BF28" s="586"/>
      <c r="BG28" s="586"/>
      <c r="BH28" s="586"/>
      <c r="BI28" s="586"/>
      <c r="BJ28" s="586"/>
      <c r="BK28" s="586"/>
      <c r="BL28" s="586"/>
      <c r="BM28" s="586"/>
      <c r="BN28" s="587"/>
    </row>
    <row r="29" spans="1:66" ht="15.75" customHeight="1">
      <c r="A29" s="489"/>
      <c r="B29" s="459"/>
      <c r="C29" s="460"/>
      <c r="D29" s="460"/>
      <c r="E29" s="460"/>
      <c r="F29" s="461"/>
      <c r="G29" s="583">
        <v>0.76736111111111116</v>
      </c>
      <c r="H29" s="584"/>
      <c r="I29" s="584"/>
      <c r="J29" s="584"/>
      <c r="K29" s="584"/>
      <c r="L29" s="451"/>
      <c r="M29" s="452"/>
      <c r="N29" s="452"/>
      <c r="O29" s="567"/>
      <c r="P29" s="452"/>
      <c r="Q29" s="452"/>
      <c r="R29" s="452"/>
      <c r="S29" s="567"/>
      <c r="T29" s="416" t="s">
        <v>170</v>
      </c>
      <c r="U29" s="417"/>
      <c r="V29" s="417"/>
      <c r="W29" s="417"/>
      <c r="X29" s="417"/>
      <c r="Y29" s="417"/>
      <c r="Z29" s="417"/>
      <c r="AA29" s="417"/>
      <c r="AB29" s="417"/>
      <c r="AC29" s="417"/>
      <c r="AD29" s="417"/>
      <c r="AE29" s="417"/>
      <c r="AF29" s="417"/>
      <c r="AG29" s="418"/>
      <c r="AH29" s="489"/>
      <c r="AI29" s="459"/>
      <c r="AJ29" s="460"/>
      <c r="AK29" s="460"/>
      <c r="AL29" s="460"/>
      <c r="AM29" s="461"/>
      <c r="AN29" s="583">
        <v>0.84722222222222221</v>
      </c>
      <c r="AO29" s="584"/>
      <c r="AP29" s="584"/>
      <c r="AQ29" s="584"/>
      <c r="AR29" s="584"/>
      <c r="AS29" s="451"/>
      <c r="AT29" s="452"/>
      <c r="AU29" s="452"/>
      <c r="AV29" s="567"/>
      <c r="AW29" s="452"/>
      <c r="AX29" s="452"/>
      <c r="AY29" s="452"/>
      <c r="AZ29" s="567"/>
      <c r="BA29" s="416"/>
      <c r="BB29" s="417"/>
      <c r="BC29" s="417"/>
      <c r="BD29" s="417"/>
      <c r="BE29" s="417"/>
      <c r="BF29" s="417"/>
      <c r="BG29" s="417"/>
      <c r="BH29" s="417"/>
      <c r="BI29" s="417"/>
      <c r="BJ29" s="417"/>
      <c r="BK29" s="417"/>
      <c r="BL29" s="417"/>
      <c r="BM29" s="417"/>
      <c r="BN29" s="418"/>
    </row>
    <row r="30" spans="1:66" ht="15.75" customHeight="1">
      <c r="A30" s="488">
        <v>3</v>
      </c>
      <c r="B30" s="456">
        <v>43925</v>
      </c>
      <c r="C30" s="457"/>
      <c r="D30" s="457"/>
      <c r="E30" s="457"/>
      <c r="F30" s="458"/>
      <c r="G30" s="560"/>
      <c r="H30" s="561"/>
      <c r="I30" s="561"/>
      <c r="J30" s="561"/>
      <c r="K30" s="562"/>
      <c r="L30" s="448" t="s">
        <v>171</v>
      </c>
      <c r="M30" s="449"/>
      <c r="N30" s="449"/>
      <c r="O30" s="563"/>
      <c r="P30" s="448" t="s">
        <v>163</v>
      </c>
      <c r="Q30" s="449"/>
      <c r="R30" s="449"/>
      <c r="S30" s="563"/>
      <c r="T30" s="571" t="s">
        <v>172</v>
      </c>
      <c r="U30" s="572"/>
      <c r="V30" s="572"/>
      <c r="W30" s="572"/>
      <c r="X30" s="572"/>
      <c r="Y30" s="572"/>
      <c r="Z30" s="572"/>
      <c r="AA30" s="572"/>
      <c r="AB30" s="572"/>
      <c r="AC30" s="572"/>
      <c r="AD30" s="572"/>
      <c r="AE30" s="572"/>
      <c r="AF30" s="572"/>
      <c r="AG30" s="573"/>
      <c r="AH30" s="488">
        <v>6</v>
      </c>
      <c r="AI30" s="333"/>
      <c r="AJ30" s="334"/>
      <c r="AK30" s="334"/>
      <c r="AL30" s="334"/>
      <c r="AM30" s="335"/>
      <c r="AN30" s="496"/>
      <c r="AO30" s="497"/>
      <c r="AP30" s="497"/>
      <c r="AQ30" s="497"/>
      <c r="AR30" s="498"/>
      <c r="AS30" s="282"/>
      <c r="AT30" s="283"/>
      <c r="AU30" s="283"/>
      <c r="AV30" s="499"/>
      <c r="AW30" s="282"/>
      <c r="AX30" s="283"/>
      <c r="AY30" s="283"/>
      <c r="AZ30" s="499"/>
      <c r="BA30" s="507"/>
      <c r="BB30" s="508"/>
      <c r="BC30" s="508"/>
      <c r="BD30" s="508"/>
      <c r="BE30" s="508"/>
      <c r="BF30" s="508"/>
      <c r="BG30" s="508"/>
      <c r="BH30" s="508"/>
      <c r="BI30" s="508"/>
      <c r="BJ30" s="508"/>
      <c r="BK30" s="508"/>
      <c r="BL30" s="508"/>
      <c r="BM30" s="508"/>
      <c r="BN30" s="509"/>
    </row>
    <row r="31" spans="1:66" ht="15.75" customHeight="1">
      <c r="A31" s="492"/>
      <c r="B31" s="557"/>
      <c r="C31" s="558"/>
      <c r="D31" s="558"/>
      <c r="E31" s="558"/>
      <c r="F31" s="559"/>
      <c r="G31" s="574"/>
      <c r="H31" s="575"/>
      <c r="I31" s="575"/>
      <c r="J31" s="575"/>
      <c r="K31" s="576"/>
      <c r="L31" s="564"/>
      <c r="M31" s="565"/>
      <c r="N31" s="565"/>
      <c r="O31" s="566"/>
      <c r="P31" s="568"/>
      <c r="Q31" s="569"/>
      <c r="R31" s="569"/>
      <c r="S31" s="570"/>
      <c r="T31" s="577" t="s">
        <v>173</v>
      </c>
      <c r="U31" s="578"/>
      <c r="V31" s="578"/>
      <c r="W31" s="578"/>
      <c r="X31" s="578"/>
      <c r="Y31" s="578"/>
      <c r="Z31" s="578"/>
      <c r="AA31" s="578"/>
      <c r="AB31" s="578"/>
      <c r="AC31" s="578"/>
      <c r="AD31" s="578"/>
      <c r="AE31" s="578"/>
      <c r="AF31" s="578"/>
      <c r="AG31" s="579"/>
      <c r="AH31" s="492"/>
      <c r="AI31" s="493"/>
      <c r="AJ31" s="494"/>
      <c r="AK31" s="494"/>
      <c r="AL31" s="494"/>
      <c r="AM31" s="495"/>
      <c r="AN31" s="510"/>
      <c r="AO31" s="511"/>
      <c r="AP31" s="511"/>
      <c r="AQ31" s="511"/>
      <c r="AR31" s="512"/>
      <c r="AS31" s="500"/>
      <c r="AT31" s="501"/>
      <c r="AU31" s="501"/>
      <c r="AV31" s="502"/>
      <c r="AW31" s="504"/>
      <c r="AX31" s="505"/>
      <c r="AY31" s="505"/>
      <c r="AZ31" s="506"/>
      <c r="BA31" s="513"/>
      <c r="BB31" s="514"/>
      <c r="BC31" s="514"/>
      <c r="BD31" s="514"/>
      <c r="BE31" s="514"/>
      <c r="BF31" s="514"/>
      <c r="BG31" s="514"/>
      <c r="BH31" s="514"/>
      <c r="BI31" s="514"/>
      <c r="BJ31" s="514"/>
      <c r="BK31" s="514"/>
      <c r="BL31" s="514"/>
      <c r="BM31" s="514"/>
      <c r="BN31" s="515"/>
    </row>
    <row r="32" spans="1:66" ht="15.75" customHeight="1">
      <c r="A32" s="492"/>
      <c r="B32" s="580">
        <v>43926</v>
      </c>
      <c r="C32" s="581"/>
      <c r="D32" s="581"/>
      <c r="E32" s="581"/>
      <c r="F32" s="582"/>
      <c r="G32" s="568"/>
      <c r="H32" s="569"/>
      <c r="I32" s="569"/>
      <c r="J32" s="569"/>
      <c r="K32" s="569"/>
      <c r="L32" s="564"/>
      <c r="M32" s="565"/>
      <c r="N32" s="565"/>
      <c r="O32" s="566"/>
      <c r="P32" s="565" t="s">
        <v>163</v>
      </c>
      <c r="Q32" s="565"/>
      <c r="R32" s="565"/>
      <c r="S32" s="566"/>
      <c r="T32" s="585" t="s">
        <v>169</v>
      </c>
      <c r="U32" s="586"/>
      <c r="V32" s="586"/>
      <c r="W32" s="586"/>
      <c r="X32" s="586"/>
      <c r="Y32" s="586"/>
      <c r="Z32" s="586"/>
      <c r="AA32" s="586"/>
      <c r="AB32" s="586"/>
      <c r="AC32" s="586"/>
      <c r="AD32" s="586"/>
      <c r="AE32" s="586"/>
      <c r="AF32" s="586"/>
      <c r="AG32" s="587"/>
      <c r="AH32" s="492"/>
      <c r="AI32" s="516"/>
      <c r="AJ32" s="517"/>
      <c r="AK32" s="517"/>
      <c r="AL32" s="517"/>
      <c r="AM32" s="518"/>
      <c r="AN32" s="504"/>
      <c r="AO32" s="505"/>
      <c r="AP32" s="505"/>
      <c r="AQ32" s="505"/>
      <c r="AR32" s="505"/>
      <c r="AS32" s="500"/>
      <c r="AT32" s="501"/>
      <c r="AU32" s="501"/>
      <c r="AV32" s="502"/>
      <c r="AW32" s="501"/>
      <c r="AX32" s="501"/>
      <c r="AY32" s="501"/>
      <c r="AZ32" s="502"/>
      <c r="BA32" s="521"/>
      <c r="BB32" s="522"/>
      <c r="BC32" s="522"/>
      <c r="BD32" s="522"/>
      <c r="BE32" s="522"/>
      <c r="BF32" s="522"/>
      <c r="BG32" s="522"/>
      <c r="BH32" s="522"/>
      <c r="BI32" s="522"/>
      <c r="BJ32" s="522"/>
      <c r="BK32" s="522"/>
      <c r="BL32" s="522"/>
      <c r="BM32" s="522"/>
      <c r="BN32" s="523"/>
    </row>
    <row r="33" spans="1:70" ht="15.75" customHeight="1">
      <c r="A33" s="489"/>
      <c r="B33" s="459"/>
      <c r="C33" s="460"/>
      <c r="D33" s="460"/>
      <c r="E33" s="460"/>
      <c r="F33" s="461"/>
      <c r="G33" s="583"/>
      <c r="H33" s="584"/>
      <c r="I33" s="584"/>
      <c r="J33" s="584"/>
      <c r="K33" s="584"/>
      <c r="L33" s="451"/>
      <c r="M33" s="452"/>
      <c r="N33" s="452"/>
      <c r="O33" s="567"/>
      <c r="P33" s="452"/>
      <c r="Q33" s="452"/>
      <c r="R33" s="452"/>
      <c r="S33" s="567"/>
      <c r="T33" s="416" t="s">
        <v>170</v>
      </c>
      <c r="U33" s="417"/>
      <c r="V33" s="417"/>
      <c r="W33" s="417"/>
      <c r="X33" s="417"/>
      <c r="Y33" s="417"/>
      <c r="Z33" s="417"/>
      <c r="AA33" s="417"/>
      <c r="AB33" s="417"/>
      <c r="AC33" s="417"/>
      <c r="AD33" s="417"/>
      <c r="AE33" s="417"/>
      <c r="AF33" s="417"/>
      <c r="AG33" s="418"/>
      <c r="AH33" s="489"/>
      <c r="AI33" s="336"/>
      <c r="AJ33" s="337"/>
      <c r="AK33" s="337"/>
      <c r="AL33" s="337"/>
      <c r="AM33" s="338"/>
      <c r="AN33" s="519"/>
      <c r="AO33" s="520"/>
      <c r="AP33" s="520"/>
      <c r="AQ33" s="520"/>
      <c r="AR33" s="520"/>
      <c r="AS33" s="285"/>
      <c r="AT33" s="286"/>
      <c r="AU33" s="286"/>
      <c r="AV33" s="503"/>
      <c r="AW33" s="286"/>
      <c r="AX33" s="286"/>
      <c r="AY33" s="286"/>
      <c r="AZ33" s="503"/>
      <c r="BA33" s="144"/>
      <c r="BB33" s="145"/>
      <c r="BC33" s="145"/>
      <c r="BD33" s="145"/>
      <c r="BE33" s="145"/>
      <c r="BF33" s="145"/>
      <c r="BG33" s="145"/>
      <c r="BH33" s="145"/>
      <c r="BI33" s="145"/>
      <c r="BJ33" s="145"/>
      <c r="BK33" s="145"/>
      <c r="BL33" s="145"/>
      <c r="BM33" s="145"/>
      <c r="BN33" s="146"/>
    </row>
    <row r="34" spans="1:70" ht="6.75" customHeight="1">
      <c r="BH34" s="82"/>
      <c r="BO34" s="82"/>
      <c r="BP34" s="82"/>
      <c r="BQ34" s="82"/>
      <c r="BR34" s="82"/>
    </row>
    <row r="35" spans="1:70" ht="17.25" customHeight="1">
      <c r="A35" s="132" t="s">
        <v>65</v>
      </c>
      <c r="B35" s="133"/>
      <c r="C35" s="133"/>
      <c r="D35" s="133"/>
      <c r="E35" s="133"/>
      <c r="F35" s="134"/>
      <c r="G35" s="21" t="s">
        <v>18</v>
      </c>
      <c r="H35" s="425" t="s">
        <v>111</v>
      </c>
      <c r="I35" s="425"/>
      <c r="J35" s="425"/>
      <c r="K35" s="425"/>
      <c r="L35" s="425"/>
      <c r="M35" s="425"/>
      <c r="N35" s="425"/>
      <c r="O35" s="20" t="s">
        <v>14</v>
      </c>
      <c r="P35" s="425" t="s">
        <v>112</v>
      </c>
      <c r="Q35" s="425"/>
      <c r="R35" s="425"/>
      <c r="S35" s="425"/>
      <c r="T35" s="425"/>
      <c r="U35" s="425"/>
      <c r="V35" s="425"/>
      <c r="W35" s="19" t="s">
        <v>13</v>
      </c>
      <c r="X35" s="425" t="s">
        <v>104</v>
      </c>
      <c r="Y35" s="425"/>
      <c r="Z35" s="425"/>
      <c r="AA35" s="425"/>
      <c r="AB35" s="425"/>
      <c r="AC35" s="425"/>
      <c r="AD35" s="18" t="s">
        <v>12</v>
      </c>
      <c r="AE35" s="20" t="s">
        <v>16</v>
      </c>
      <c r="AF35" s="129"/>
      <c r="AG35" s="129"/>
      <c r="AH35" s="129"/>
      <c r="AI35" s="129"/>
      <c r="AJ35" s="129"/>
      <c r="AK35" s="129"/>
      <c r="AL35" s="129"/>
      <c r="AM35" s="20" t="s">
        <v>14</v>
      </c>
      <c r="AN35" s="129"/>
      <c r="AO35" s="129"/>
      <c r="AP35" s="129"/>
      <c r="AQ35" s="129"/>
      <c r="AR35" s="129"/>
      <c r="AS35" s="129"/>
      <c r="AT35" s="129"/>
      <c r="AU35" s="19" t="s">
        <v>13</v>
      </c>
      <c r="AV35" s="129"/>
      <c r="AW35" s="129"/>
      <c r="AX35" s="129"/>
      <c r="AY35" s="129"/>
      <c r="AZ35" s="129"/>
      <c r="BA35" s="129"/>
      <c r="BB35" s="18" t="s">
        <v>12</v>
      </c>
      <c r="BC35" s="53"/>
      <c r="BD35" s="53"/>
      <c r="BE35" s="130" t="s">
        <v>11</v>
      </c>
      <c r="BF35" s="130"/>
      <c r="BG35" s="130"/>
      <c r="BH35" s="130"/>
      <c r="BI35" s="130"/>
      <c r="BJ35" s="53"/>
      <c r="BK35" s="53"/>
      <c r="BL35" s="53"/>
      <c r="BM35" s="53"/>
      <c r="BN35" s="52"/>
    </row>
    <row r="36" spans="1:70" ht="17.25" customHeight="1">
      <c r="A36" s="135"/>
      <c r="B36" s="136"/>
      <c r="C36" s="136"/>
      <c r="D36" s="136"/>
      <c r="E36" s="136"/>
      <c r="F36" s="137"/>
      <c r="G36" s="17" t="s">
        <v>17</v>
      </c>
      <c r="H36" s="424" t="s">
        <v>112</v>
      </c>
      <c r="I36" s="424"/>
      <c r="J36" s="424"/>
      <c r="K36" s="424"/>
      <c r="L36" s="424"/>
      <c r="M36" s="424"/>
      <c r="N36" s="424"/>
      <c r="O36" s="16" t="s">
        <v>14</v>
      </c>
      <c r="P36" s="424" t="s">
        <v>113</v>
      </c>
      <c r="Q36" s="424"/>
      <c r="R36" s="424"/>
      <c r="S36" s="424"/>
      <c r="T36" s="424"/>
      <c r="U36" s="424"/>
      <c r="V36" s="424"/>
      <c r="W36" s="15" t="s">
        <v>13</v>
      </c>
      <c r="X36" s="424" t="s">
        <v>101</v>
      </c>
      <c r="Y36" s="424"/>
      <c r="Z36" s="424"/>
      <c r="AA36" s="424"/>
      <c r="AB36" s="424"/>
      <c r="AC36" s="424"/>
      <c r="AD36" s="14" t="s">
        <v>12</v>
      </c>
      <c r="AE36" s="16" t="s">
        <v>15</v>
      </c>
      <c r="AF36" s="131"/>
      <c r="AG36" s="131"/>
      <c r="AH36" s="131"/>
      <c r="AI36" s="131"/>
      <c r="AJ36" s="131"/>
      <c r="AK36" s="131"/>
      <c r="AL36" s="131"/>
      <c r="AM36" s="16" t="s">
        <v>14</v>
      </c>
      <c r="AN36" s="131"/>
      <c r="AO36" s="131"/>
      <c r="AP36" s="131"/>
      <c r="AQ36" s="131"/>
      <c r="AR36" s="131"/>
      <c r="AS36" s="131"/>
      <c r="AT36" s="131"/>
      <c r="AU36" s="15" t="s">
        <v>13</v>
      </c>
      <c r="AV36" s="131"/>
      <c r="AW36" s="131"/>
      <c r="AX36" s="131"/>
      <c r="AY36" s="131"/>
      <c r="AZ36" s="131"/>
      <c r="BA36" s="131"/>
      <c r="BB36" s="14" t="s">
        <v>12</v>
      </c>
      <c r="BC36" s="8" t="s">
        <v>46</v>
      </c>
      <c r="BD36" s="51"/>
      <c r="BE36" s="51"/>
      <c r="BF36" s="51"/>
      <c r="BG36" s="51"/>
      <c r="BH36" s="51"/>
      <c r="BI36" s="51"/>
      <c r="BJ36" s="51"/>
      <c r="BK36" s="51"/>
      <c r="BL36" s="51"/>
      <c r="BM36" s="51"/>
      <c r="BN36" s="50"/>
    </row>
    <row r="37" spans="1:70" ht="13.5" customHeight="1">
      <c r="P37" s="25"/>
      <c r="BC37" s="342" t="s">
        <v>61</v>
      </c>
      <c r="BD37" s="342"/>
      <c r="BE37" s="342"/>
      <c r="BF37" s="342"/>
      <c r="BG37" s="342"/>
      <c r="BH37" s="342"/>
      <c r="BI37" s="342"/>
      <c r="BJ37" s="342"/>
      <c r="BK37" s="342"/>
      <c r="BL37" s="342"/>
      <c r="BM37" s="342"/>
      <c r="BN37" s="342"/>
    </row>
    <row r="38" spans="1:70" ht="6.75" customHeight="1">
      <c r="P38" s="25"/>
      <c r="BH38" s="82"/>
    </row>
    <row r="39" spans="1:70" ht="12.75" customHeight="1">
      <c r="A39" s="475" t="s">
        <v>68</v>
      </c>
      <c r="B39" s="475"/>
      <c r="C39" s="475"/>
      <c r="D39" s="475"/>
      <c r="E39" s="475"/>
      <c r="F39" s="475" t="s">
        <v>122</v>
      </c>
      <c r="G39" s="475"/>
      <c r="H39" s="475"/>
      <c r="I39" s="475"/>
      <c r="J39" s="475"/>
      <c r="K39" s="475"/>
      <c r="P39" s="25"/>
      <c r="BH39" s="82"/>
    </row>
    <row r="40" spans="1:70" ht="12.75" customHeight="1">
      <c r="A40" s="475"/>
      <c r="B40" s="475"/>
      <c r="C40" s="475"/>
      <c r="D40" s="475"/>
      <c r="E40" s="475"/>
      <c r="F40" s="475"/>
      <c r="G40" s="475"/>
      <c r="H40" s="475"/>
      <c r="I40" s="475"/>
      <c r="J40" s="475"/>
      <c r="K40" s="475"/>
      <c r="P40" s="25"/>
      <c r="BH40" s="82"/>
    </row>
    <row r="41" spans="1:70" ht="6.75" customHeight="1">
      <c r="P41" s="25"/>
      <c r="BH41" s="82"/>
    </row>
    <row r="42" spans="1:70" ht="18.75" customHeight="1">
      <c r="A42" s="132" t="s">
        <v>25</v>
      </c>
      <c r="B42" s="185"/>
      <c r="C42" s="185"/>
      <c r="D42" s="185"/>
      <c r="E42" s="185"/>
      <c r="F42" s="186"/>
      <c r="G42" s="467" t="s">
        <v>24</v>
      </c>
      <c r="H42" s="468"/>
      <c r="I42" s="468"/>
      <c r="J42" s="468"/>
      <c r="K42" s="468"/>
      <c r="L42" s="468"/>
      <c r="M42" s="468"/>
      <c r="N42" s="468"/>
      <c r="O42" s="469" t="s">
        <v>174</v>
      </c>
      <c r="P42" s="469"/>
      <c r="Q42" s="469"/>
      <c r="R42" s="469"/>
      <c r="S42" s="469"/>
      <c r="T42" s="469"/>
      <c r="U42" s="469"/>
      <c r="V42" s="469"/>
      <c r="W42" s="469"/>
      <c r="X42" s="469"/>
      <c r="Y42" s="469"/>
      <c r="Z42" s="469"/>
      <c r="AA42" s="469"/>
      <c r="AB42" s="469"/>
      <c r="AC42" s="469"/>
      <c r="AD42" s="469"/>
      <c r="AE42" s="469"/>
      <c r="AF42" s="469"/>
      <c r="AG42" s="470"/>
      <c r="AI42" s="530" t="s">
        <v>144</v>
      </c>
      <c r="AJ42" s="300"/>
      <c r="AK42" s="300"/>
      <c r="AL42" s="300"/>
      <c r="AM42" s="300"/>
      <c r="AN42" s="300"/>
      <c r="AO42" s="300"/>
      <c r="AP42" s="300"/>
      <c r="AQ42" s="300"/>
      <c r="AR42" s="300"/>
      <c r="AS42" s="300"/>
      <c r="AT42" s="300"/>
      <c r="AU42" s="300"/>
      <c r="AV42" s="300"/>
      <c r="AW42" s="300"/>
      <c r="AX42" s="300"/>
      <c r="AY42" s="300"/>
      <c r="AZ42" s="300"/>
      <c r="BA42" s="300"/>
      <c r="BB42" s="300"/>
      <c r="BC42" s="300"/>
      <c r="BD42" s="300"/>
      <c r="BE42" s="300"/>
      <c r="BF42" s="300"/>
      <c r="BG42" s="300"/>
      <c r="BH42" s="300"/>
      <c r="BI42" s="300"/>
      <c r="BJ42" s="300"/>
      <c r="BK42" s="300"/>
      <c r="BL42" s="300"/>
      <c r="BM42" s="300"/>
      <c r="BN42" s="531"/>
    </row>
    <row r="43" spans="1:70" ht="18.75" customHeight="1">
      <c r="A43" s="343"/>
      <c r="B43" s="344"/>
      <c r="C43" s="344"/>
      <c r="D43" s="344"/>
      <c r="E43" s="344"/>
      <c r="F43" s="345"/>
      <c r="G43" s="465" t="str">
        <f>IF(OR(O42="基盤研究費",O42="自己負担（精算なし）",O42=""),"",IF(O42="大学運営経費","予算名称",IF(COUNTIF(O42,"*科研費*"),"種目",IF(O42="先方負担","負担種別（全額/一部）",IF(O42="その他","詳細","資金(ﾌﾟﾛｼﾞｪｸﾄ)名称")))))</f>
        <v>種目</v>
      </c>
      <c r="H43" s="466"/>
      <c r="I43" s="466"/>
      <c r="J43" s="466"/>
      <c r="K43" s="466"/>
      <c r="L43" s="466"/>
      <c r="M43" s="466"/>
      <c r="N43" s="466"/>
      <c r="O43" s="471" t="s">
        <v>175</v>
      </c>
      <c r="P43" s="471"/>
      <c r="Q43" s="471"/>
      <c r="R43" s="471"/>
      <c r="S43" s="471"/>
      <c r="T43" s="471"/>
      <c r="U43" s="471"/>
      <c r="V43" s="471"/>
      <c r="W43" s="471"/>
      <c r="X43" s="471"/>
      <c r="Y43" s="471"/>
      <c r="Z43" s="471"/>
      <c r="AA43" s="471"/>
      <c r="AB43" s="471"/>
      <c r="AC43" s="471"/>
      <c r="AD43" s="471"/>
      <c r="AE43" s="471"/>
      <c r="AF43" s="471"/>
      <c r="AG43" s="472"/>
      <c r="AH43" s="42"/>
      <c r="AI43" s="532"/>
      <c r="AJ43" s="539" t="s">
        <v>145</v>
      </c>
      <c r="AK43" s="540"/>
      <c r="AL43" s="540"/>
      <c r="AM43" s="540"/>
      <c r="AN43" s="540"/>
      <c r="AO43" s="540"/>
      <c r="AP43" s="540"/>
      <c r="AQ43" s="540"/>
      <c r="AR43" s="540"/>
      <c r="AS43" s="540"/>
      <c r="AT43" s="540"/>
      <c r="AU43" s="540"/>
      <c r="AV43" s="540"/>
      <c r="AW43" s="540"/>
      <c r="AX43" s="540"/>
      <c r="AY43" s="540"/>
      <c r="AZ43" s="540"/>
      <c r="BA43" s="540"/>
      <c r="BB43" s="540"/>
      <c r="BC43" s="540"/>
      <c r="BD43" s="540"/>
      <c r="BE43" s="540"/>
      <c r="BF43" s="540"/>
      <c r="BG43" s="540"/>
      <c r="BH43" s="540"/>
      <c r="BI43" s="540"/>
      <c r="BJ43" s="540"/>
      <c r="BK43" s="540"/>
      <c r="BL43" s="540"/>
      <c r="BM43" s="540"/>
      <c r="BN43" s="541"/>
    </row>
    <row r="44" spans="1:70" ht="17.25" customHeight="1">
      <c r="A44" s="343"/>
      <c r="B44" s="344"/>
      <c r="C44" s="344"/>
      <c r="D44" s="344"/>
      <c r="E44" s="344"/>
      <c r="F44" s="345"/>
      <c r="G44" s="465" t="str">
        <f>+IF(OR(O42="基盤研究費",O42="大学運営経費",O42="自己負担（精算なし）",O42="その他",O42=""),"",IF(O42="先方負担","先方負担先名",IF(COUNTIF(O42,"*科研費*"),"研究代表者名","経費区分（直接/間接）")))</f>
        <v>研究代表者名</v>
      </c>
      <c r="H44" s="466"/>
      <c r="I44" s="466"/>
      <c r="J44" s="466"/>
      <c r="K44" s="466"/>
      <c r="L44" s="466"/>
      <c r="M44" s="466"/>
      <c r="N44" s="466"/>
      <c r="O44" s="471" t="s">
        <v>176</v>
      </c>
      <c r="P44" s="471"/>
      <c r="Q44" s="471"/>
      <c r="R44" s="471"/>
      <c r="S44" s="471"/>
      <c r="T44" s="471"/>
      <c r="U44" s="471"/>
      <c r="V44" s="471"/>
      <c r="W44" s="471"/>
      <c r="X44" s="471"/>
      <c r="Y44" s="471"/>
      <c r="Z44" s="471"/>
      <c r="AA44" s="471"/>
      <c r="AB44" s="471"/>
      <c r="AC44" s="471"/>
      <c r="AD44" s="471"/>
      <c r="AE44" s="471"/>
      <c r="AF44" s="471"/>
      <c r="AG44" s="472"/>
      <c r="AH44" s="42"/>
      <c r="AI44" s="533"/>
      <c r="AJ44" s="542"/>
      <c r="AK44" s="543"/>
      <c r="AL44" s="543"/>
      <c r="AM44" s="543"/>
      <c r="AN44" s="543"/>
      <c r="AO44" s="543"/>
      <c r="AP44" s="543"/>
      <c r="AQ44" s="543"/>
      <c r="AR44" s="543"/>
      <c r="AS44" s="543"/>
      <c r="AT44" s="543"/>
      <c r="AU44" s="543"/>
      <c r="AV44" s="543"/>
      <c r="AW44" s="543"/>
      <c r="AX44" s="543"/>
      <c r="AY44" s="543"/>
      <c r="AZ44" s="543"/>
      <c r="BA44" s="543"/>
      <c r="BB44" s="543"/>
      <c r="BC44" s="543"/>
      <c r="BD44" s="543"/>
      <c r="BE44" s="543"/>
      <c r="BF44" s="543"/>
      <c r="BG44" s="543"/>
      <c r="BH44" s="543"/>
      <c r="BI44" s="543"/>
      <c r="BJ44" s="543"/>
      <c r="BK44" s="543"/>
      <c r="BL44" s="543"/>
      <c r="BM44" s="543"/>
      <c r="BN44" s="544"/>
    </row>
    <row r="45" spans="1:70" ht="17.25" customHeight="1">
      <c r="A45" s="343"/>
      <c r="B45" s="344"/>
      <c r="C45" s="344"/>
      <c r="D45" s="344"/>
      <c r="E45" s="344"/>
      <c r="F45" s="345"/>
      <c r="G45" s="465" t="str">
        <f>+IF(OR(O42="基盤研究費",O42="大学運営経費",O42="自己負担（精算なし）",O42="その他",O42=""),"",IF(O42="先方負担","先方負担内容",IF(COUNTIF(O42,"*科研費*"),"所管（ﾌﾟﾛｼﾞｪｸﾄ）名称","ﾌﾟﾛｼﾞｪｸﾄNo.(ｺｰﾄﾞ)")))</f>
        <v>所管（ﾌﾟﾛｼﾞｪｸﾄ）名称</v>
      </c>
      <c r="H45" s="466"/>
      <c r="I45" s="466"/>
      <c r="J45" s="466"/>
      <c r="K45" s="466"/>
      <c r="L45" s="466"/>
      <c r="M45" s="466"/>
      <c r="N45" s="466"/>
      <c r="O45" s="471" t="s">
        <v>177</v>
      </c>
      <c r="P45" s="471"/>
      <c r="Q45" s="471"/>
      <c r="R45" s="471"/>
      <c r="S45" s="471"/>
      <c r="T45" s="471"/>
      <c r="U45" s="471"/>
      <c r="V45" s="471"/>
      <c r="W45" s="471"/>
      <c r="X45" s="471"/>
      <c r="Y45" s="471"/>
      <c r="Z45" s="471"/>
      <c r="AA45" s="471"/>
      <c r="AB45" s="471"/>
      <c r="AC45" s="471"/>
      <c r="AD45" s="471"/>
      <c r="AE45" s="471"/>
      <c r="AF45" s="471"/>
      <c r="AG45" s="472"/>
      <c r="AH45" s="42"/>
      <c r="AI45" s="533"/>
      <c r="AJ45" s="542"/>
      <c r="AK45" s="543"/>
      <c r="AL45" s="543"/>
      <c r="AM45" s="543"/>
      <c r="AN45" s="543"/>
      <c r="AO45" s="543"/>
      <c r="AP45" s="543"/>
      <c r="AQ45" s="543"/>
      <c r="AR45" s="543"/>
      <c r="AS45" s="543"/>
      <c r="AT45" s="543"/>
      <c r="AU45" s="543"/>
      <c r="AV45" s="543"/>
      <c r="AW45" s="543"/>
      <c r="AX45" s="543"/>
      <c r="AY45" s="543"/>
      <c r="AZ45" s="543"/>
      <c r="BA45" s="543"/>
      <c r="BB45" s="543"/>
      <c r="BC45" s="543"/>
      <c r="BD45" s="543"/>
      <c r="BE45" s="543"/>
      <c r="BF45" s="543"/>
      <c r="BG45" s="543"/>
      <c r="BH45" s="543"/>
      <c r="BI45" s="543"/>
      <c r="BJ45" s="543"/>
      <c r="BK45" s="543"/>
      <c r="BL45" s="543"/>
      <c r="BM45" s="543"/>
      <c r="BN45" s="544"/>
    </row>
    <row r="46" spans="1:70" ht="17.25" customHeight="1">
      <c r="A46" s="343"/>
      <c r="B46" s="344"/>
      <c r="C46" s="344"/>
      <c r="D46" s="344"/>
      <c r="E46" s="344"/>
      <c r="F46" s="345"/>
      <c r="G46" s="465" t="str">
        <f>IF(COUNTIF(O42,"*科研費*"),"ﾌﾟﾛｼﾞｪｸﾄNo.(ｺｰﾄﾞ)","")</f>
        <v>ﾌﾟﾛｼﾞｪｸﾄNo.(ｺｰﾄﾞ)</v>
      </c>
      <c r="H46" s="466"/>
      <c r="I46" s="466"/>
      <c r="J46" s="466"/>
      <c r="K46" s="466"/>
      <c r="L46" s="466"/>
      <c r="M46" s="466"/>
      <c r="N46" s="466"/>
      <c r="O46" s="471" t="s">
        <v>178</v>
      </c>
      <c r="P46" s="471"/>
      <c r="Q46" s="471"/>
      <c r="R46" s="471"/>
      <c r="S46" s="471"/>
      <c r="T46" s="471"/>
      <c r="U46" s="471"/>
      <c r="V46" s="471"/>
      <c r="W46" s="471"/>
      <c r="X46" s="471"/>
      <c r="Y46" s="471"/>
      <c r="Z46" s="471"/>
      <c r="AA46" s="471"/>
      <c r="AB46" s="471"/>
      <c r="AC46" s="471"/>
      <c r="AD46" s="471"/>
      <c r="AE46" s="471"/>
      <c r="AF46" s="471"/>
      <c r="AG46" s="472"/>
      <c r="AH46" s="42"/>
      <c r="AI46" s="533"/>
      <c r="AJ46" s="542"/>
      <c r="AK46" s="543"/>
      <c r="AL46" s="543"/>
      <c r="AM46" s="543"/>
      <c r="AN46" s="543"/>
      <c r="AO46" s="543"/>
      <c r="AP46" s="543"/>
      <c r="AQ46" s="543"/>
      <c r="AR46" s="543"/>
      <c r="AS46" s="543"/>
      <c r="AT46" s="543"/>
      <c r="AU46" s="543"/>
      <c r="AV46" s="543"/>
      <c r="AW46" s="543"/>
      <c r="AX46" s="543"/>
      <c r="AY46" s="543"/>
      <c r="AZ46" s="543"/>
      <c r="BA46" s="543"/>
      <c r="BB46" s="543"/>
      <c r="BC46" s="543"/>
      <c r="BD46" s="543"/>
      <c r="BE46" s="543"/>
      <c r="BF46" s="543"/>
      <c r="BG46" s="543"/>
      <c r="BH46" s="543"/>
      <c r="BI46" s="543"/>
      <c r="BJ46" s="543"/>
      <c r="BK46" s="543"/>
      <c r="BL46" s="543"/>
      <c r="BM46" s="543"/>
      <c r="BN46" s="544"/>
    </row>
    <row r="47" spans="1:70" ht="17.25" customHeight="1">
      <c r="A47" s="187"/>
      <c r="B47" s="188"/>
      <c r="C47" s="188"/>
      <c r="D47" s="188"/>
      <c r="E47" s="188"/>
      <c r="F47" s="189"/>
      <c r="G47" s="354" t="s">
        <v>22</v>
      </c>
      <c r="H47" s="355"/>
      <c r="I47" s="355"/>
      <c r="J47" s="355"/>
      <c r="K47" s="355"/>
      <c r="L47" s="355"/>
      <c r="M47" s="355"/>
      <c r="N47" s="355"/>
      <c r="O47" s="356"/>
      <c r="P47" s="356"/>
      <c r="Q47" s="356"/>
      <c r="R47" s="356"/>
      <c r="S47" s="356"/>
      <c r="T47" s="356"/>
      <c r="U47" s="356"/>
      <c r="V47" s="356"/>
      <c r="W47" s="356"/>
      <c r="X47" s="356"/>
      <c r="Y47" s="356"/>
      <c r="Z47" s="356"/>
      <c r="AA47" s="356"/>
      <c r="AB47" s="356"/>
      <c r="AC47" s="356"/>
      <c r="AD47" s="356"/>
      <c r="AE47" s="356"/>
      <c r="AF47" s="356"/>
      <c r="AG47" s="357"/>
      <c r="AH47" s="42"/>
      <c r="AI47" s="533"/>
      <c r="AJ47" s="542"/>
      <c r="AK47" s="543"/>
      <c r="AL47" s="543"/>
      <c r="AM47" s="543"/>
      <c r="AN47" s="543"/>
      <c r="AO47" s="543"/>
      <c r="AP47" s="543"/>
      <c r="AQ47" s="543"/>
      <c r="AR47" s="543"/>
      <c r="AS47" s="543"/>
      <c r="AT47" s="543"/>
      <c r="AU47" s="543"/>
      <c r="AV47" s="543"/>
      <c r="AW47" s="543"/>
      <c r="AX47" s="543"/>
      <c r="AY47" s="543"/>
      <c r="AZ47" s="543"/>
      <c r="BA47" s="543"/>
      <c r="BB47" s="543"/>
      <c r="BC47" s="543"/>
      <c r="BD47" s="543"/>
      <c r="BE47" s="543"/>
      <c r="BF47" s="543"/>
      <c r="BG47" s="543"/>
      <c r="BH47" s="543"/>
      <c r="BI47" s="543"/>
      <c r="BJ47" s="543"/>
      <c r="BK47" s="543"/>
      <c r="BL47" s="543"/>
      <c r="BM47" s="543"/>
      <c r="BN47" s="544"/>
    </row>
    <row r="48" spans="1:70" ht="17.25" customHeight="1">
      <c r="A48" s="132" t="s">
        <v>21</v>
      </c>
      <c r="B48" s="185"/>
      <c r="C48" s="185"/>
      <c r="D48" s="185"/>
      <c r="E48" s="185"/>
      <c r="F48" s="186"/>
      <c r="G48" s="78"/>
      <c r="H48" s="78"/>
      <c r="I48" s="278" t="s">
        <v>20</v>
      </c>
      <c r="J48" s="278"/>
      <c r="K48" s="278"/>
      <c r="L48" s="278"/>
      <c r="M48" s="278"/>
      <c r="N48" s="278"/>
      <c r="O48" s="78"/>
      <c r="P48" s="78"/>
      <c r="Q48" s="278" t="s">
        <v>19</v>
      </c>
      <c r="R48" s="278"/>
      <c r="S48" s="278"/>
      <c r="T48" s="278"/>
      <c r="U48" s="278"/>
      <c r="V48" s="278"/>
      <c r="W48" s="78"/>
      <c r="X48" s="78"/>
      <c r="Y48" s="78"/>
      <c r="Z48" s="78"/>
      <c r="AA48" s="78"/>
      <c r="AB48" s="78"/>
      <c r="AC48" s="78"/>
      <c r="AD48" s="78"/>
      <c r="AE48" s="78"/>
      <c r="AF48" s="77"/>
      <c r="AG48" s="83"/>
      <c r="AH48" s="42"/>
      <c r="AI48" s="533"/>
      <c r="AJ48" s="542"/>
      <c r="AK48" s="543"/>
      <c r="AL48" s="543"/>
      <c r="AM48" s="543"/>
      <c r="AN48" s="543"/>
      <c r="AO48" s="543"/>
      <c r="AP48" s="543"/>
      <c r="AQ48" s="543"/>
      <c r="AR48" s="543"/>
      <c r="AS48" s="543"/>
      <c r="AT48" s="543"/>
      <c r="AU48" s="543"/>
      <c r="AV48" s="543"/>
      <c r="AW48" s="543"/>
      <c r="AX48" s="543"/>
      <c r="AY48" s="543"/>
      <c r="AZ48" s="543"/>
      <c r="BA48" s="543"/>
      <c r="BB48" s="543"/>
      <c r="BC48" s="543"/>
      <c r="BD48" s="543"/>
      <c r="BE48" s="543"/>
      <c r="BF48" s="543"/>
      <c r="BG48" s="543"/>
      <c r="BH48" s="543"/>
      <c r="BI48" s="543"/>
      <c r="BJ48" s="543"/>
      <c r="BK48" s="543"/>
      <c r="BL48" s="543"/>
      <c r="BM48" s="543"/>
      <c r="BN48" s="544"/>
    </row>
    <row r="49" spans="1:75" ht="17.25" customHeight="1">
      <c r="A49" s="343"/>
      <c r="B49" s="344"/>
      <c r="C49" s="344"/>
      <c r="D49" s="344"/>
      <c r="E49" s="344"/>
      <c r="F49" s="345"/>
      <c r="G49" s="362"/>
      <c r="H49" s="363"/>
      <c r="I49" s="340" t="s">
        <v>36</v>
      </c>
      <c r="J49" s="340"/>
      <c r="K49" s="340"/>
      <c r="L49" s="340"/>
      <c r="M49" s="340"/>
      <c r="N49" s="340"/>
      <c r="O49" s="363"/>
      <c r="P49" s="363"/>
      <c r="Q49" s="340" t="s">
        <v>35</v>
      </c>
      <c r="R49" s="340"/>
      <c r="S49" s="340"/>
      <c r="T49" s="340"/>
      <c r="U49" s="340"/>
      <c r="V49" s="340"/>
      <c r="W49" s="363"/>
      <c r="X49" s="363"/>
      <c r="Y49" s="80" t="s">
        <v>34</v>
      </c>
      <c r="Z49" s="80"/>
      <c r="AA49" s="80"/>
      <c r="AB49" s="80"/>
      <c r="AC49" s="80"/>
      <c r="AD49" s="80"/>
      <c r="AE49" s="80"/>
      <c r="AF49" s="47"/>
      <c r="AG49" s="46"/>
      <c r="AH49" s="42"/>
      <c r="AI49" s="533"/>
      <c r="AJ49" s="545"/>
      <c r="AK49" s="546"/>
      <c r="AL49" s="546"/>
      <c r="AM49" s="546"/>
      <c r="AN49" s="546"/>
      <c r="AO49" s="546"/>
      <c r="AP49" s="546"/>
      <c r="AQ49" s="546"/>
      <c r="AR49" s="546"/>
      <c r="AS49" s="546"/>
      <c r="AT49" s="546"/>
      <c r="AU49" s="546"/>
      <c r="AV49" s="546"/>
      <c r="AW49" s="546"/>
      <c r="AX49" s="546"/>
      <c r="AY49" s="546"/>
      <c r="AZ49" s="546"/>
      <c r="BA49" s="546"/>
      <c r="BB49" s="546"/>
      <c r="BC49" s="546"/>
      <c r="BD49" s="546"/>
      <c r="BE49" s="546"/>
      <c r="BF49" s="546"/>
      <c r="BG49" s="546"/>
      <c r="BH49" s="546"/>
      <c r="BI49" s="546"/>
      <c r="BJ49" s="546"/>
      <c r="BK49" s="546"/>
      <c r="BL49" s="546"/>
      <c r="BM49" s="546"/>
      <c r="BN49" s="547"/>
    </row>
    <row r="50" spans="1:75" ht="17.25" customHeight="1">
      <c r="A50" s="187"/>
      <c r="B50" s="188"/>
      <c r="C50" s="188"/>
      <c r="D50" s="188"/>
      <c r="E50" s="188"/>
      <c r="F50" s="189"/>
      <c r="G50" s="360"/>
      <c r="H50" s="361"/>
      <c r="I50" s="364" t="s">
        <v>7</v>
      </c>
      <c r="J50" s="364"/>
      <c r="K50" s="364"/>
      <c r="L50" s="364"/>
      <c r="M50" s="364"/>
      <c r="N50" s="364"/>
      <c r="O50" s="361"/>
      <c r="P50" s="361"/>
      <c r="Q50" s="364" t="s">
        <v>33</v>
      </c>
      <c r="R50" s="364"/>
      <c r="S50" s="364"/>
      <c r="T50" s="364"/>
      <c r="U50" s="364"/>
      <c r="V50" s="364"/>
      <c r="W50" s="361"/>
      <c r="X50" s="361"/>
      <c r="Y50" s="81" t="s">
        <v>32</v>
      </c>
      <c r="Z50" s="81"/>
      <c r="AA50" s="81"/>
      <c r="AB50" s="81"/>
      <c r="AC50" s="81"/>
      <c r="AD50" s="81"/>
      <c r="AE50" s="81"/>
      <c r="AF50" s="81"/>
      <c r="AG50" s="84"/>
      <c r="AH50" s="42"/>
      <c r="AI50" s="533"/>
      <c r="AJ50" s="535"/>
      <c r="AK50" s="536"/>
      <c r="AL50" s="537" t="s">
        <v>146</v>
      </c>
      <c r="AM50" s="537"/>
      <c r="AN50" s="537"/>
      <c r="AO50" s="537"/>
      <c r="AP50" s="537"/>
      <c r="AQ50" s="537"/>
      <c r="AR50" s="537"/>
      <c r="AS50" s="537"/>
      <c r="AT50" s="537"/>
      <c r="AU50" s="537"/>
      <c r="AV50" s="537"/>
      <c r="AW50" s="537"/>
      <c r="AX50" s="537"/>
      <c r="AY50" s="537"/>
      <c r="AZ50" s="537"/>
      <c r="BA50" s="537"/>
      <c r="BB50" s="537"/>
      <c r="BC50" s="537"/>
      <c r="BD50" s="537"/>
      <c r="BE50" s="537"/>
      <c r="BF50" s="537"/>
      <c r="BG50" s="537"/>
      <c r="BH50" s="537"/>
      <c r="BI50" s="537"/>
      <c r="BJ50" s="537"/>
      <c r="BK50" s="537"/>
      <c r="BL50" s="537"/>
      <c r="BM50" s="537"/>
      <c r="BN50" s="538"/>
    </row>
    <row r="51" spans="1:75" ht="17.25" customHeight="1">
      <c r="A51" s="132" t="s">
        <v>44</v>
      </c>
      <c r="B51" s="185"/>
      <c r="C51" s="185"/>
      <c r="D51" s="185"/>
      <c r="E51" s="185"/>
      <c r="F51" s="186"/>
      <c r="G51" s="277" t="s">
        <v>117</v>
      </c>
      <c r="H51" s="278"/>
      <c r="I51" s="278"/>
      <c r="J51" s="278"/>
      <c r="K51" s="278"/>
      <c r="L51" s="278"/>
      <c r="M51" s="278"/>
      <c r="N51" s="278"/>
      <c r="O51" s="278"/>
      <c r="P51" s="278"/>
      <c r="Q51" s="278"/>
      <c r="R51" s="278"/>
      <c r="S51" s="278"/>
      <c r="T51" s="278"/>
      <c r="U51" s="278"/>
      <c r="V51" s="278"/>
      <c r="W51" s="278"/>
      <c r="X51" s="278"/>
      <c r="Y51" s="278"/>
      <c r="Z51" s="278"/>
      <c r="AA51" s="278"/>
      <c r="AB51" s="278"/>
      <c r="AC51" s="278"/>
      <c r="AD51" s="278"/>
      <c r="AE51" s="278"/>
      <c r="AF51" s="278"/>
      <c r="AG51" s="279"/>
      <c r="AH51" s="42"/>
      <c r="AI51" s="533"/>
      <c r="AJ51" s="25"/>
      <c r="AK51" s="548" t="s">
        <v>147</v>
      </c>
      <c r="AL51" s="548"/>
      <c r="AM51" s="548"/>
      <c r="AN51" s="548"/>
      <c r="AO51" s="548"/>
      <c r="AP51" s="548"/>
      <c r="AQ51" s="548"/>
      <c r="AR51" s="548"/>
      <c r="AS51" s="548"/>
      <c r="AT51" s="548"/>
      <c r="AU51" s="548"/>
      <c r="AV51" s="548"/>
      <c r="AW51" s="548"/>
      <c r="AX51" s="548"/>
      <c r="AY51" s="548"/>
      <c r="AZ51" s="548"/>
      <c r="BA51" s="548"/>
      <c r="BB51" s="548"/>
      <c r="BC51" s="548"/>
      <c r="BD51" s="548"/>
      <c r="BE51" s="548"/>
      <c r="BF51" s="548"/>
      <c r="BG51" s="548"/>
      <c r="BH51" s="548"/>
      <c r="BI51" s="548"/>
      <c r="BJ51" s="548"/>
      <c r="BK51" s="548"/>
      <c r="BL51" s="548"/>
      <c r="BM51" s="548"/>
      <c r="BN51" s="549"/>
    </row>
    <row r="52" spans="1:75" ht="17.25" customHeight="1">
      <c r="A52" s="187"/>
      <c r="B52" s="188"/>
      <c r="C52" s="188"/>
      <c r="D52" s="188"/>
      <c r="E52" s="188"/>
      <c r="F52" s="189"/>
      <c r="G52" s="473"/>
      <c r="H52" s="364"/>
      <c r="I52" s="364"/>
      <c r="J52" s="364"/>
      <c r="K52" s="364"/>
      <c r="L52" s="364"/>
      <c r="M52" s="364"/>
      <c r="N52" s="364"/>
      <c r="O52" s="364"/>
      <c r="P52" s="364"/>
      <c r="Q52" s="364"/>
      <c r="R52" s="364"/>
      <c r="S52" s="364"/>
      <c r="T52" s="364"/>
      <c r="U52" s="364"/>
      <c r="V52" s="364"/>
      <c r="W52" s="364"/>
      <c r="X52" s="364"/>
      <c r="Y52" s="364"/>
      <c r="Z52" s="364"/>
      <c r="AA52" s="364"/>
      <c r="AB52" s="364"/>
      <c r="AC52" s="364"/>
      <c r="AD52" s="364"/>
      <c r="AE52" s="364"/>
      <c r="AF52" s="364"/>
      <c r="AG52" s="474"/>
      <c r="AH52" s="42"/>
      <c r="AI52" s="533"/>
      <c r="AJ52" s="25"/>
      <c r="AK52" s="269"/>
      <c r="AL52" s="269"/>
      <c r="AM52" s="548" t="s">
        <v>148</v>
      </c>
      <c r="AN52" s="548"/>
      <c r="AO52" s="548"/>
      <c r="AP52" s="269"/>
      <c r="AQ52" s="269"/>
      <c r="AR52" s="269" t="s">
        <v>149</v>
      </c>
      <c r="AS52" s="269"/>
      <c r="AT52" s="548"/>
      <c r="AU52" s="548"/>
      <c r="AV52" s="548"/>
      <c r="AW52" s="548"/>
      <c r="AX52" s="548"/>
      <c r="AY52" s="548"/>
      <c r="AZ52" s="548"/>
      <c r="BA52" s="548"/>
      <c r="BB52" s="548"/>
      <c r="BC52" s="548"/>
      <c r="BD52" s="548"/>
      <c r="BE52" s="548"/>
      <c r="BF52" s="548"/>
      <c r="BG52" s="548"/>
      <c r="BH52" s="548"/>
      <c r="BI52" s="548"/>
      <c r="BJ52" s="548"/>
      <c r="BK52" s="548"/>
      <c r="BL52" s="548"/>
      <c r="BM52" s="548"/>
      <c r="BN52" s="549"/>
    </row>
    <row r="53" spans="1:75" ht="17.25" customHeight="1">
      <c r="A53" s="132" t="s">
        <v>150</v>
      </c>
      <c r="B53" s="185"/>
      <c r="C53" s="185"/>
      <c r="D53" s="185"/>
      <c r="E53" s="185"/>
      <c r="F53" s="186"/>
      <c r="G53" s="78"/>
      <c r="H53" s="78"/>
      <c r="I53" s="278" t="s">
        <v>79</v>
      </c>
      <c r="J53" s="278"/>
      <c r="K53" s="278"/>
      <c r="L53" s="278"/>
      <c r="M53" s="278"/>
      <c r="N53" s="278"/>
      <c r="O53" s="278"/>
      <c r="P53" s="278"/>
      <c r="Q53" s="278"/>
      <c r="R53" s="278"/>
      <c r="S53" s="278"/>
      <c r="T53" s="278"/>
      <c r="U53" s="278"/>
      <c r="V53" s="278"/>
      <c r="W53" s="278"/>
      <c r="X53" s="278"/>
      <c r="Y53" s="278"/>
      <c r="Z53" s="278"/>
      <c r="AA53" s="278"/>
      <c r="AB53" s="278"/>
      <c r="AC53" s="278"/>
      <c r="AD53" s="278"/>
      <c r="AE53" s="278"/>
      <c r="AF53" s="278"/>
      <c r="AG53" s="279"/>
      <c r="AH53" s="42"/>
      <c r="AI53" s="533"/>
      <c r="AJ53" s="25"/>
      <c r="AK53" s="269"/>
      <c r="AL53" s="269"/>
      <c r="AM53" s="548" t="s">
        <v>151</v>
      </c>
      <c r="AN53" s="548"/>
      <c r="AO53" s="548"/>
      <c r="AP53" s="269"/>
      <c r="AQ53" s="269"/>
      <c r="AR53" s="269" t="s">
        <v>149</v>
      </c>
      <c r="AS53" s="269"/>
      <c r="AT53" s="548"/>
      <c r="AU53" s="548"/>
      <c r="AV53" s="548"/>
      <c r="AW53" s="548"/>
      <c r="AX53" s="548"/>
      <c r="AY53" s="548"/>
      <c r="AZ53" s="548"/>
      <c r="BA53" s="548"/>
      <c r="BB53" s="548"/>
      <c r="BC53" s="548"/>
      <c r="BD53" s="548"/>
      <c r="BE53" s="548"/>
      <c r="BF53" s="548"/>
      <c r="BG53" s="548"/>
      <c r="BH53" s="548"/>
      <c r="BI53" s="548"/>
      <c r="BJ53" s="548"/>
      <c r="BK53" s="548"/>
      <c r="BL53" s="548"/>
      <c r="BM53" s="548"/>
      <c r="BN53" s="549"/>
    </row>
    <row r="54" spans="1:75" ht="17.25" customHeight="1">
      <c r="A54" s="187"/>
      <c r="B54" s="188"/>
      <c r="C54" s="188"/>
      <c r="D54" s="188"/>
      <c r="E54" s="188"/>
      <c r="F54" s="189"/>
      <c r="G54" s="79"/>
      <c r="H54" s="79"/>
      <c r="I54" s="340" t="s">
        <v>78</v>
      </c>
      <c r="J54" s="340"/>
      <c r="K54" s="340"/>
      <c r="L54" s="340"/>
      <c r="M54" s="340"/>
      <c r="N54" s="340"/>
      <c r="O54" s="340"/>
      <c r="P54" s="340"/>
      <c r="Q54" s="340"/>
      <c r="R54" s="340"/>
      <c r="S54" s="340"/>
      <c r="T54" s="340"/>
      <c r="U54" s="340"/>
      <c r="V54" s="340"/>
      <c r="W54" s="340"/>
      <c r="X54" s="340"/>
      <c r="Y54" s="340"/>
      <c r="Z54" s="340"/>
      <c r="AA54" s="340"/>
      <c r="AB54" s="340"/>
      <c r="AC54" s="340"/>
      <c r="AD54" s="340"/>
      <c r="AE54" s="340"/>
      <c r="AF54" s="340"/>
      <c r="AG54" s="341"/>
      <c r="AH54" s="42"/>
      <c r="AI54" s="533"/>
      <c r="AJ54" s="25"/>
      <c r="AK54" s="269"/>
      <c r="AL54" s="269"/>
      <c r="AM54" s="548" t="s">
        <v>152</v>
      </c>
      <c r="AN54" s="548"/>
      <c r="AO54" s="548"/>
      <c r="AP54" s="269"/>
      <c r="AQ54" s="269"/>
      <c r="AR54" s="269" t="s">
        <v>149</v>
      </c>
      <c r="AS54" s="269"/>
      <c r="AT54" s="548"/>
      <c r="AU54" s="548"/>
      <c r="AV54" s="548"/>
      <c r="AW54" s="548"/>
      <c r="AX54" s="548"/>
      <c r="AY54" s="548"/>
      <c r="AZ54" s="548"/>
      <c r="BA54" s="548"/>
      <c r="BB54" s="548"/>
      <c r="BC54" s="548"/>
      <c r="BD54" s="548"/>
      <c r="BE54" s="548"/>
      <c r="BF54" s="548"/>
      <c r="BG54" s="548"/>
      <c r="BH54" s="548"/>
      <c r="BI54" s="548"/>
      <c r="BJ54" s="548"/>
      <c r="BK54" s="548"/>
      <c r="BL54" s="548"/>
      <c r="BM54" s="548"/>
      <c r="BN54" s="549"/>
    </row>
    <row r="55" spans="1:75" ht="17.25" customHeight="1">
      <c r="A55" s="132" t="s">
        <v>132</v>
      </c>
      <c r="B55" s="185"/>
      <c r="C55" s="185"/>
      <c r="D55" s="185"/>
      <c r="E55" s="185"/>
      <c r="F55" s="186"/>
      <c r="G55" s="78"/>
      <c r="H55" s="78"/>
      <c r="I55" s="278" t="s">
        <v>133</v>
      </c>
      <c r="J55" s="278"/>
      <c r="K55" s="278"/>
      <c r="L55" s="278"/>
      <c r="M55" s="278"/>
      <c r="N55" s="278"/>
      <c r="O55" s="278"/>
      <c r="P55" s="278"/>
      <c r="Q55" s="278"/>
      <c r="R55" s="278"/>
      <c r="S55" s="278"/>
      <c r="T55" s="278"/>
      <c r="U55" s="278"/>
      <c r="V55" s="278"/>
      <c r="W55" s="278"/>
      <c r="X55" s="278"/>
      <c r="Y55" s="278"/>
      <c r="Z55" s="278"/>
      <c r="AA55" s="278"/>
      <c r="AB55" s="278"/>
      <c r="AC55" s="278"/>
      <c r="AD55" s="278"/>
      <c r="AE55" s="278"/>
      <c r="AF55" s="278"/>
      <c r="AG55" s="279"/>
      <c r="AH55" s="42"/>
      <c r="AI55" s="533"/>
      <c r="AJ55" s="25"/>
      <c r="AK55" s="269"/>
      <c r="AL55" s="269"/>
      <c r="AM55" s="548" t="s">
        <v>153</v>
      </c>
      <c r="AN55" s="548"/>
      <c r="AO55" s="548"/>
      <c r="AP55" s="269"/>
      <c r="AQ55" s="269"/>
      <c r="AR55" s="269" t="s">
        <v>149</v>
      </c>
      <c r="AS55" s="269"/>
      <c r="AT55" s="548" t="s">
        <v>154</v>
      </c>
      <c r="AU55" s="548"/>
      <c r="AV55" s="548"/>
      <c r="AW55" s="548"/>
      <c r="AX55" s="548"/>
      <c r="AY55" s="548"/>
      <c r="AZ55" s="548"/>
      <c r="BA55" s="548"/>
      <c r="BB55" s="548"/>
      <c r="BC55" s="548"/>
      <c r="BD55" s="548"/>
      <c r="BE55" s="548"/>
      <c r="BF55" s="548"/>
      <c r="BG55" s="548"/>
      <c r="BH55" s="548"/>
      <c r="BI55" s="548"/>
      <c r="BJ55" s="548"/>
      <c r="BK55" s="548"/>
      <c r="BL55" s="548"/>
      <c r="BM55" s="548"/>
      <c r="BN55" s="549"/>
      <c r="BO55" s="82"/>
      <c r="BP55" s="82"/>
      <c r="BQ55" s="82"/>
      <c r="BR55" s="82"/>
    </row>
    <row r="56" spans="1:75" ht="17.25" customHeight="1">
      <c r="A56" s="187"/>
      <c r="B56" s="188"/>
      <c r="C56" s="188"/>
      <c r="D56" s="188"/>
      <c r="E56" s="188"/>
      <c r="F56" s="189"/>
      <c r="G56" s="524" t="s">
        <v>134</v>
      </c>
      <c r="H56" s="525"/>
      <c r="I56" s="525"/>
      <c r="J56" s="525"/>
      <c r="K56" s="525"/>
      <c r="L56" s="525"/>
      <c r="M56" s="525"/>
      <c r="N56" s="525"/>
      <c r="O56" s="525"/>
      <c r="P56" s="525"/>
      <c r="Q56" s="525"/>
      <c r="R56" s="525"/>
      <c r="S56" s="525"/>
      <c r="T56" s="525"/>
      <c r="U56" s="525"/>
      <c r="V56" s="525"/>
      <c r="W56" s="525"/>
      <c r="X56" s="525"/>
      <c r="Y56" s="525"/>
      <c r="Z56" s="525"/>
      <c r="AA56" s="525"/>
      <c r="AB56" s="525"/>
      <c r="AC56" s="525"/>
      <c r="AD56" s="525"/>
      <c r="AE56" s="525"/>
      <c r="AF56" s="525"/>
      <c r="AG56" s="526"/>
      <c r="AH56" s="42"/>
      <c r="AI56" s="533"/>
      <c r="AJ56" s="25"/>
      <c r="AK56" s="25"/>
      <c r="AL56" s="25"/>
      <c r="AM56" s="25"/>
      <c r="AN56" s="25"/>
      <c r="AO56" s="25"/>
      <c r="AP56" s="25"/>
      <c r="AQ56" s="25"/>
      <c r="AR56" s="25"/>
      <c r="AS56" s="25"/>
      <c r="AT56" s="25"/>
      <c r="AU56" s="25"/>
      <c r="AV56" s="25"/>
      <c r="AW56" s="25"/>
      <c r="AX56" s="25"/>
      <c r="AY56" s="25"/>
      <c r="AZ56" s="25"/>
      <c r="BA56" s="25"/>
      <c r="BB56" s="25"/>
      <c r="BC56" s="25"/>
      <c r="BD56" s="25"/>
      <c r="BE56" s="25"/>
      <c r="BF56" s="25"/>
      <c r="BG56" s="25"/>
      <c r="BH56" s="25"/>
      <c r="BI56" s="25"/>
      <c r="BJ56" s="25"/>
      <c r="BK56" s="25"/>
      <c r="BL56" s="25"/>
      <c r="BM56" s="25"/>
      <c r="BN56" s="87"/>
      <c r="BO56" s="82"/>
      <c r="BP56" s="82"/>
      <c r="BQ56" s="82"/>
      <c r="BR56" s="82"/>
    </row>
    <row r="57" spans="1:75" ht="17.25" customHeight="1">
      <c r="A57" s="326" t="s">
        <v>56</v>
      </c>
      <c r="B57" s="326"/>
      <c r="C57" s="326"/>
      <c r="D57" s="326"/>
      <c r="E57" s="326"/>
      <c r="F57" s="326"/>
      <c r="G57" s="588" t="s">
        <v>179</v>
      </c>
      <c r="H57" s="588"/>
      <c r="I57" s="588"/>
      <c r="J57" s="588"/>
      <c r="K57" s="588"/>
      <c r="L57" s="588"/>
      <c r="M57" s="588"/>
      <c r="N57" s="588"/>
      <c r="O57" s="588"/>
      <c r="P57" s="588"/>
      <c r="Q57" s="588"/>
      <c r="R57" s="588"/>
      <c r="S57" s="588"/>
      <c r="T57" s="588"/>
      <c r="U57" s="588"/>
      <c r="V57" s="588"/>
      <c r="W57" s="588"/>
      <c r="X57" s="588"/>
      <c r="Y57" s="588"/>
      <c r="Z57" s="588"/>
      <c r="AA57" s="588"/>
      <c r="AB57" s="588"/>
      <c r="AC57" s="588"/>
      <c r="AD57" s="588"/>
      <c r="AE57" s="588"/>
      <c r="AF57" s="588"/>
      <c r="AG57" s="588"/>
      <c r="AH57" s="42"/>
      <c r="AI57" s="533"/>
      <c r="AJ57" s="550"/>
      <c r="AK57" s="551"/>
      <c r="AL57" s="552" t="s">
        <v>155</v>
      </c>
      <c r="AM57" s="552"/>
      <c r="AN57" s="552"/>
      <c r="AO57" s="552"/>
      <c r="AP57" s="552"/>
      <c r="AQ57" s="552"/>
      <c r="AR57" s="552"/>
      <c r="AS57" s="552"/>
      <c r="AT57" s="552"/>
      <c r="AU57" s="552"/>
      <c r="AV57" s="552"/>
      <c r="AW57" s="552"/>
      <c r="AX57" s="552"/>
      <c r="AY57" s="552"/>
      <c r="AZ57" s="552"/>
      <c r="BA57" s="552"/>
      <c r="BB57" s="552"/>
      <c r="BC57" s="552"/>
      <c r="BD57" s="552"/>
      <c r="BE57" s="552"/>
      <c r="BF57" s="552"/>
      <c r="BG57" s="552"/>
      <c r="BH57" s="552"/>
      <c r="BI57" s="552"/>
      <c r="BJ57" s="552"/>
      <c r="BK57" s="552"/>
      <c r="BL57" s="552"/>
      <c r="BM57" s="552"/>
      <c r="BN57" s="553"/>
      <c r="BO57" s="82"/>
      <c r="BP57" s="82"/>
      <c r="BQ57" s="82"/>
      <c r="BR57" s="82"/>
    </row>
    <row r="58" spans="1:75" ht="17.25" customHeight="1">
      <c r="A58" s="326"/>
      <c r="B58" s="326"/>
      <c r="C58" s="326"/>
      <c r="D58" s="326"/>
      <c r="E58" s="326"/>
      <c r="F58" s="326"/>
      <c r="G58" s="588"/>
      <c r="H58" s="588"/>
      <c r="I58" s="588"/>
      <c r="J58" s="588"/>
      <c r="K58" s="588"/>
      <c r="L58" s="588"/>
      <c r="M58" s="588"/>
      <c r="N58" s="588"/>
      <c r="O58" s="588"/>
      <c r="P58" s="588"/>
      <c r="Q58" s="588"/>
      <c r="R58" s="588"/>
      <c r="S58" s="588"/>
      <c r="T58" s="588"/>
      <c r="U58" s="588"/>
      <c r="V58" s="588"/>
      <c r="W58" s="588"/>
      <c r="X58" s="588"/>
      <c r="Y58" s="588"/>
      <c r="Z58" s="588"/>
      <c r="AA58" s="588"/>
      <c r="AB58" s="588"/>
      <c r="AC58" s="588"/>
      <c r="AD58" s="588"/>
      <c r="AE58" s="588"/>
      <c r="AF58" s="588"/>
      <c r="AG58" s="588"/>
      <c r="AH58" s="42"/>
      <c r="AI58" s="534"/>
      <c r="AJ58" s="58"/>
      <c r="AK58" s="58"/>
      <c r="AL58" s="58"/>
      <c r="AM58" s="58"/>
      <c r="AN58" s="58"/>
      <c r="AO58" s="58"/>
      <c r="AP58" s="58"/>
      <c r="AQ58" s="58"/>
      <c r="AR58" s="58"/>
      <c r="AS58" s="58"/>
      <c r="AT58" s="58"/>
      <c r="AU58" s="58"/>
      <c r="AV58" s="58"/>
      <c r="AW58" s="58"/>
      <c r="AX58" s="58"/>
      <c r="AY58" s="58"/>
      <c r="AZ58" s="58"/>
      <c r="BA58" s="58"/>
      <c r="BB58" s="58"/>
      <c r="BC58" s="58"/>
      <c r="BD58" s="58"/>
      <c r="BE58" s="58"/>
      <c r="BF58" s="58"/>
      <c r="BG58" s="58"/>
      <c r="BH58" s="58"/>
      <c r="BI58" s="58"/>
      <c r="BJ58" s="58"/>
      <c r="BK58" s="58"/>
      <c r="BL58" s="58"/>
      <c r="BM58" s="58"/>
      <c r="BN58" s="88"/>
      <c r="BO58" s="82"/>
      <c r="BP58" s="82"/>
      <c r="BQ58" s="82"/>
      <c r="BR58" s="82"/>
    </row>
    <row r="59" spans="1:75" ht="17.25" customHeight="1">
      <c r="A59" s="326"/>
      <c r="B59" s="326"/>
      <c r="C59" s="326"/>
      <c r="D59" s="326"/>
      <c r="E59" s="326"/>
      <c r="F59" s="326"/>
      <c r="G59" s="588"/>
      <c r="H59" s="588"/>
      <c r="I59" s="588"/>
      <c r="J59" s="588"/>
      <c r="K59" s="588"/>
      <c r="L59" s="588"/>
      <c r="M59" s="588"/>
      <c r="N59" s="588"/>
      <c r="O59" s="588"/>
      <c r="P59" s="588"/>
      <c r="Q59" s="588"/>
      <c r="R59" s="588"/>
      <c r="S59" s="588"/>
      <c r="T59" s="588"/>
      <c r="U59" s="588"/>
      <c r="V59" s="588"/>
      <c r="W59" s="588"/>
      <c r="X59" s="588"/>
      <c r="Y59" s="588"/>
      <c r="Z59" s="588"/>
      <c r="AA59" s="588"/>
      <c r="AB59" s="588"/>
      <c r="AC59" s="588"/>
      <c r="AD59" s="588"/>
      <c r="AE59" s="588"/>
      <c r="AF59" s="588"/>
      <c r="AG59" s="588"/>
      <c r="AH59" s="59"/>
      <c r="AI59" s="82"/>
      <c r="AJ59" s="59"/>
      <c r="AK59" s="59"/>
      <c r="AL59" s="59"/>
      <c r="AM59" s="59"/>
      <c r="AN59" s="59"/>
      <c r="AO59" s="59"/>
      <c r="AP59" s="59"/>
      <c r="AQ59" s="59"/>
      <c r="AR59" s="59"/>
      <c r="AS59" s="59"/>
      <c r="AT59" s="59"/>
      <c r="AU59" s="59"/>
      <c r="AV59" s="59"/>
      <c r="AW59" s="59"/>
      <c r="AX59" s="59"/>
      <c r="AY59" s="59"/>
      <c r="AZ59" s="59"/>
      <c r="BA59" s="59"/>
      <c r="BB59" s="59"/>
      <c r="BC59" s="59"/>
      <c r="BD59" s="59"/>
      <c r="BE59" s="59"/>
      <c r="BF59" s="59"/>
      <c r="BG59" s="59"/>
      <c r="BH59" s="59"/>
      <c r="BI59" s="59"/>
      <c r="BJ59" s="59"/>
      <c r="BK59" s="59"/>
      <c r="BL59" s="59"/>
      <c r="BM59" s="59"/>
      <c r="BN59" s="59"/>
      <c r="BO59" s="82"/>
      <c r="BP59" s="82"/>
      <c r="BQ59" s="82"/>
      <c r="BR59" s="82"/>
    </row>
    <row r="60" spans="1:75" ht="17.25" customHeight="1">
      <c r="A60" s="326"/>
      <c r="B60" s="326"/>
      <c r="C60" s="326"/>
      <c r="D60" s="326"/>
      <c r="E60" s="326"/>
      <c r="F60" s="326"/>
      <c r="G60" s="588"/>
      <c r="H60" s="588"/>
      <c r="I60" s="588"/>
      <c r="J60" s="588"/>
      <c r="K60" s="588"/>
      <c r="L60" s="588"/>
      <c r="M60" s="588"/>
      <c r="N60" s="588"/>
      <c r="O60" s="588"/>
      <c r="P60" s="588"/>
      <c r="Q60" s="588"/>
      <c r="R60" s="588"/>
      <c r="S60" s="588"/>
      <c r="T60" s="588"/>
      <c r="U60" s="588"/>
      <c r="V60" s="588"/>
      <c r="W60" s="588"/>
      <c r="X60" s="588"/>
      <c r="Y60" s="588"/>
      <c r="Z60" s="588"/>
      <c r="AA60" s="588"/>
      <c r="AB60" s="588"/>
      <c r="AC60" s="588"/>
      <c r="AD60" s="588"/>
      <c r="AE60" s="588"/>
      <c r="AF60" s="588"/>
      <c r="AG60" s="588"/>
      <c r="AH60" s="59"/>
      <c r="AI60" s="82"/>
      <c r="AJ60" s="59"/>
      <c r="AK60" s="59"/>
      <c r="AL60" s="59"/>
      <c r="AM60" s="59"/>
      <c r="AN60" s="59"/>
      <c r="AO60" s="59"/>
      <c r="AP60" s="59"/>
      <c r="AQ60" s="59"/>
      <c r="AR60" s="59"/>
      <c r="AS60" s="59"/>
      <c r="AT60" s="59"/>
      <c r="AU60" s="59"/>
      <c r="AV60" s="59"/>
      <c r="AW60" s="59"/>
      <c r="AX60" s="59"/>
      <c r="AY60" s="59"/>
      <c r="AZ60" s="59"/>
      <c r="BA60" s="59"/>
      <c r="BB60" s="59"/>
      <c r="BC60" s="59"/>
      <c r="BD60" s="59"/>
      <c r="BE60" s="59"/>
      <c r="BF60" s="59"/>
      <c r="BG60" s="59"/>
      <c r="BH60" s="59"/>
      <c r="BI60" s="59"/>
      <c r="BJ60" s="59"/>
      <c r="BK60" s="59"/>
      <c r="BL60" s="59"/>
      <c r="BM60" s="59"/>
      <c r="BN60" s="59"/>
      <c r="BO60" s="82"/>
      <c r="BP60" s="82"/>
      <c r="BQ60" s="82"/>
      <c r="BR60" s="82"/>
    </row>
    <row r="61" spans="1:75" ht="18" customHeight="1">
      <c r="AH61" s="25"/>
      <c r="BH61" s="82"/>
      <c r="BP61" s="82"/>
      <c r="BR61" s="82"/>
      <c r="BT61" s="82"/>
      <c r="BU61" s="82"/>
      <c r="BV61" s="82"/>
      <c r="BW61" s="82"/>
    </row>
    <row r="62" spans="1:75" ht="18" customHeight="1">
      <c r="AH62" s="25"/>
      <c r="BH62" s="82"/>
      <c r="BP62" s="82"/>
      <c r="BR62" s="82"/>
      <c r="BT62" s="82"/>
      <c r="BU62" s="82"/>
      <c r="BV62" s="82"/>
      <c r="BW62" s="82"/>
    </row>
    <row r="63" spans="1:75" ht="18" customHeight="1">
      <c r="AH63" s="25"/>
      <c r="BH63" s="82"/>
      <c r="BP63" s="82"/>
      <c r="BR63" s="82"/>
      <c r="BT63" s="82"/>
      <c r="BU63" s="82"/>
      <c r="BV63" s="82"/>
      <c r="BW63" s="82"/>
    </row>
    <row r="64" spans="1:75" ht="18" customHeight="1">
      <c r="AH64" s="25"/>
      <c r="BH64" s="82"/>
      <c r="BP64" s="82"/>
      <c r="BR64" s="82"/>
      <c r="BT64" s="82"/>
      <c r="BU64" s="82"/>
      <c r="BV64" s="82"/>
      <c r="BW64" s="82"/>
    </row>
    <row r="65" spans="59:66" ht="12.75" customHeight="1"/>
    <row r="72" spans="59:66">
      <c r="BG72" s="99" t="s">
        <v>62</v>
      </c>
      <c r="BH72" s="99"/>
      <c r="BI72" s="99"/>
      <c r="BJ72" s="99"/>
      <c r="BK72" s="99"/>
      <c r="BL72" s="99"/>
      <c r="BM72" s="99"/>
      <c r="BN72" s="99"/>
    </row>
  </sheetData>
  <mergeCells count="232">
    <mergeCell ref="A57:F60"/>
    <mergeCell ref="G57:AG60"/>
    <mergeCell ref="AJ57:AK57"/>
    <mergeCell ref="AL57:BN57"/>
    <mergeCell ref="AK54:AL54"/>
    <mergeCell ref="AM54:AO54"/>
    <mergeCell ref="AP54:AQ54"/>
    <mergeCell ref="AR54:AS54"/>
    <mergeCell ref="AT54:BN54"/>
    <mergeCell ref="A55:F56"/>
    <mergeCell ref="I55:AG55"/>
    <mergeCell ref="AK55:AL55"/>
    <mergeCell ref="AM55:AO55"/>
    <mergeCell ref="AP55:AQ55"/>
    <mergeCell ref="A53:F54"/>
    <mergeCell ref="I53:AG53"/>
    <mergeCell ref="AK53:AL53"/>
    <mergeCell ref="AM53:AO53"/>
    <mergeCell ref="AP53:AQ53"/>
    <mergeCell ref="AR53:AS53"/>
    <mergeCell ref="AT53:BN53"/>
    <mergeCell ref="I54:AG54"/>
    <mergeCell ref="AR52:AS52"/>
    <mergeCell ref="AT52:BN52"/>
    <mergeCell ref="O45:AG45"/>
    <mergeCell ref="G46:N46"/>
    <mergeCell ref="O46:AG46"/>
    <mergeCell ref="G47:N47"/>
    <mergeCell ref="O47:AG47"/>
    <mergeCell ref="W49:X49"/>
    <mergeCell ref="BG72:BN72"/>
    <mergeCell ref="AR55:AS55"/>
    <mergeCell ref="AT55:BN55"/>
    <mergeCell ref="G56:AG56"/>
    <mergeCell ref="I49:N49"/>
    <mergeCell ref="O49:P49"/>
    <mergeCell ref="Q49:V49"/>
    <mergeCell ref="G50:H50"/>
    <mergeCell ref="I50:N50"/>
    <mergeCell ref="O50:P50"/>
    <mergeCell ref="AJ43:BN49"/>
    <mergeCell ref="G44:N44"/>
    <mergeCell ref="O44:AG44"/>
    <mergeCell ref="G45:N45"/>
    <mergeCell ref="BC37:BN37"/>
    <mergeCell ref="A39:E40"/>
    <mergeCell ref="F39:K40"/>
    <mergeCell ref="A42:F47"/>
    <mergeCell ref="G42:N42"/>
    <mergeCell ref="O42:AG42"/>
    <mergeCell ref="AI42:BN42"/>
    <mergeCell ref="G43:N43"/>
    <mergeCell ref="O43:AG43"/>
    <mergeCell ref="AI43:AI58"/>
    <mergeCell ref="Q50:V50"/>
    <mergeCell ref="W50:X50"/>
    <mergeCell ref="AJ50:AK50"/>
    <mergeCell ref="AL50:BN50"/>
    <mergeCell ref="A51:F52"/>
    <mergeCell ref="G51:AG52"/>
    <mergeCell ref="AK51:BN51"/>
    <mergeCell ref="AK52:AL52"/>
    <mergeCell ref="AM52:AO52"/>
    <mergeCell ref="AP52:AQ52"/>
    <mergeCell ref="A48:F50"/>
    <mergeCell ref="I48:N48"/>
    <mergeCell ref="Q48:V48"/>
    <mergeCell ref="G49:H49"/>
    <mergeCell ref="AV35:BA35"/>
    <mergeCell ref="BE35:BI35"/>
    <mergeCell ref="H36:N36"/>
    <mergeCell ref="P36:V36"/>
    <mergeCell ref="X36:AC36"/>
    <mergeCell ref="AF36:AL36"/>
    <mergeCell ref="AN36:AT36"/>
    <mergeCell ref="AV36:BA36"/>
    <mergeCell ref="G33:K33"/>
    <mergeCell ref="T33:AG33"/>
    <mergeCell ref="AN33:AR33"/>
    <mergeCell ref="BA33:BN33"/>
    <mergeCell ref="A35:F36"/>
    <mergeCell ref="H35:N35"/>
    <mergeCell ref="P35:V35"/>
    <mergeCell ref="X35:AC35"/>
    <mergeCell ref="AF35:AL35"/>
    <mergeCell ref="AN35:AT35"/>
    <mergeCell ref="G31:K31"/>
    <mergeCell ref="T31:AG31"/>
    <mergeCell ref="AN31:AR31"/>
    <mergeCell ref="A30:A33"/>
    <mergeCell ref="B30:F31"/>
    <mergeCell ref="G30:K30"/>
    <mergeCell ref="L30:O33"/>
    <mergeCell ref="P30:S31"/>
    <mergeCell ref="T30:AG30"/>
    <mergeCell ref="BA31:BN31"/>
    <mergeCell ref="B32:F33"/>
    <mergeCell ref="G32:K32"/>
    <mergeCell ref="P32:S33"/>
    <mergeCell ref="T32:AG32"/>
    <mergeCell ref="AI32:AM33"/>
    <mergeCell ref="AN32:AR32"/>
    <mergeCell ref="AH30:AH33"/>
    <mergeCell ref="AI30:AM31"/>
    <mergeCell ref="AN30:AR30"/>
    <mergeCell ref="AS30:AV33"/>
    <mergeCell ref="AW30:AZ31"/>
    <mergeCell ref="BA30:BN30"/>
    <mergeCell ref="AW32:AZ33"/>
    <mergeCell ref="BA32:BN32"/>
    <mergeCell ref="AN27:AR27"/>
    <mergeCell ref="BA27:BN27"/>
    <mergeCell ref="B28:F29"/>
    <mergeCell ref="G28:K28"/>
    <mergeCell ref="P28:S29"/>
    <mergeCell ref="T28:AG28"/>
    <mergeCell ref="AI28:AM29"/>
    <mergeCell ref="AN28:AR28"/>
    <mergeCell ref="AH26:AH29"/>
    <mergeCell ref="AI26:AM27"/>
    <mergeCell ref="AN26:AR26"/>
    <mergeCell ref="AS26:AV29"/>
    <mergeCell ref="AW26:AZ27"/>
    <mergeCell ref="BA26:BN26"/>
    <mergeCell ref="AW28:AZ29"/>
    <mergeCell ref="BA28:BN28"/>
    <mergeCell ref="G29:K29"/>
    <mergeCell ref="T29:AG29"/>
    <mergeCell ref="AN29:AR29"/>
    <mergeCell ref="BA29:BN29"/>
    <mergeCell ref="AN25:AR25"/>
    <mergeCell ref="BA25:BN25"/>
    <mergeCell ref="A26:A29"/>
    <mergeCell ref="B26:F27"/>
    <mergeCell ref="G26:K26"/>
    <mergeCell ref="L26:O29"/>
    <mergeCell ref="P26:S27"/>
    <mergeCell ref="T26:AG26"/>
    <mergeCell ref="P24:S25"/>
    <mergeCell ref="T24:AG24"/>
    <mergeCell ref="AI24:AM25"/>
    <mergeCell ref="AN24:AR24"/>
    <mergeCell ref="AW24:AZ25"/>
    <mergeCell ref="BA24:BN24"/>
    <mergeCell ref="AH22:AH25"/>
    <mergeCell ref="AI22:AM23"/>
    <mergeCell ref="AN22:AR22"/>
    <mergeCell ref="AS22:AV25"/>
    <mergeCell ref="AW22:AZ23"/>
    <mergeCell ref="BA22:BN22"/>
    <mergeCell ref="AN23:AR23"/>
    <mergeCell ref="BA23:BN23"/>
    <mergeCell ref="G27:K27"/>
    <mergeCell ref="T27:AG27"/>
    <mergeCell ref="A22:A25"/>
    <mergeCell ref="B22:F23"/>
    <mergeCell ref="G22:K22"/>
    <mergeCell ref="L22:O25"/>
    <mergeCell ref="P22:S23"/>
    <mergeCell ref="T22:AG22"/>
    <mergeCell ref="G23:K23"/>
    <mergeCell ref="T23:AG23"/>
    <mergeCell ref="B24:F25"/>
    <mergeCell ref="G24:K24"/>
    <mergeCell ref="G25:K25"/>
    <mergeCell ref="T25:AG25"/>
    <mergeCell ref="AH20:AH21"/>
    <mergeCell ref="AI20:AM21"/>
    <mergeCell ref="AN20:AR20"/>
    <mergeCell ref="AS20:AV21"/>
    <mergeCell ref="AW20:AZ21"/>
    <mergeCell ref="BA20:BN20"/>
    <mergeCell ref="AN21:AR21"/>
    <mergeCell ref="BA21:BN21"/>
    <mergeCell ref="A20:A21"/>
    <mergeCell ref="B20:F21"/>
    <mergeCell ref="G20:K20"/>
    <mergeCell ref="L20:O21"/>
    <mergeCell ref="P20:S21"/>
    <mergeCell ref="T20:AG20"/>
    <mergeCell ref="G21:K21"/>
    <mergeCell ref="T21:AG21"/>
    <mergeCell ref="AN15:BN18"/>
    <mergeCell ref="V16:AE16"/>
    <mergeCell ref="AF16:AG16"/>
    <mergeCell ref="A17:F18"/>
    <mergeCell ref="G17:O18"/>
    <mergeCell ref="P17:U18"/>
    <mergeCell ref="V17:AE17"/>
    <mergeCell ref="AF17:AG17"/>
    <mergeCell ref="V18:AE18"/>
    <mergeCell ref="AF18:AG18"/>
    <mergeCell ref="A15:F16"/>
    <mergeCell ref="G15:O16"/>
    <mergeCell ref="P15:U16"/>
    <mergeCell ref="V15:AE15"/>
    <mergeCell ref="AF15:AG15"/>
    <mergeCell ref="AH15:AM18"/>
    <mergeCell ref="AF13:AG14"/>
    <mergeCell ref="AH13:AM14"/>
    <mergeCell ref="AN13:AO13"/>
    <mergeCell ref="AP13:AU13"/>
    <mergeCell ref="AV13:AW13"/>
    <mergeCell ref="AX13:BC13"/>
    <mergeCell ref="AN14:BN14"/>
    <mergeCell ref="A13:F14"/>
    <mergeCell ref="G13:O14"/>
    <mergeCell ref="P13:Q14"/>
    <mergeCell ref="R13:Z14"/>
    <mergeCell ref="AA13:AB14"/>
    <mergeCell ref="AC13:AE14"/>
    <mergeCell ref="BE6:BN7"/>
    <mergeCell ref="A8:F9"/>
    <mergeCell ref="G8:AG8"/>
    <mergeCell ref="AH8:AM9"/>
    <mergeCell ref="AN8:BN9"/>
    <mergeCell ref="G9:M9"/>
    <mergeCell ref="N9:AG9"/>
    <mergeCell ref="BC1:BF1"/>
    <mergeCell ref="BG1:BJ1"/>
    <mergeCell ref="BK1:BN1"/>
    <mergeCell ref="AR2:AV4"/>
    <mergeCell ref="AY2:BB4"/>
    <mergeCell ref="BC2:BF4"/>
    <mergeCell ref="BG2:BJ4"/>
    <mergeCell ref="BK2:BN4"/>
    <mergeCell ref="A1:E2"/>
    <mergeCell ref="F1:K2"/>
    <mergeCell ref="R1:AQ3"/>
    <mergeCell ref="AR1:AV1"/>
    <mergeCell ref="AX1:AX4"/>
    <mergeCell ref="AY1:BB1"/>
  </mergeCells>
  <phoneticPr fontId="3"/>
  <dataValidations count="4">
    <dataValidation type="list" allowBlank="1" showInputMessage="1" showErrorMessage="1" sqref="O42:AG42">
      <formula1>"(選択してください),基盤研究費,大学運営経費,科研費（代表者）,科研費（学内分担）,科研費（学外分担）,寄附金,補助金,受託事業,共同研究,受託研究,助成金,科研間接経費,自己負担（精算なし）,先方負担,その他"</formula1>
    </dataValidation>
    <dataValidation type="list" allowBlank="1" showInputMessage="1" showErrorMessage="1" sqref="AP52:AQ55">
      <formula1>"0,1,2,3,4,5,6,7,8,9"</formula1>
    </dataValidation>
    <dataValidation allowBlank="1" showInputMessage="1" showErrorMessage="1" prompt="日付は「旅行期間終了日」以降の日付を入力してください。" sqref="BE6:BN7"/>
    <dataValidation type="list" allowBlank="1" showInputMessage="1" showErrorMessage="1" sqref="G15:O18">
      <formula1>"自宅,杉本キャンパス,阿倍野キャンパス,中百舌鳥キャンパス,羽曳野キャンパス,りんくうキャンパス,工業高等専門学校,職務外用務地（兼業）,職務外用務地（私用）"</formula1>
    </dataValidation>
  </dataValidations>
  <printOptions horizontalCentered="1"/>
  <pageMargins left="0.19685039370078741" right="0.19685039370078741" top="0.39370078740157483" bottom="0.19685039370078741" header="0.11811023622047245" footer="0.11811023622047245"/>
  <pageSetup paperSize="9" orientation="landscape" r:id="rId1"/>
  <headerFooter>
    <oddFooter>&amp;L&amp;P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44033" r:id="rId4" name="Check Box 1">
              <controlPr defaultSize="0" autoFill="0" autoLine="0" autoPict="0">
                <anchor moveWithCells="1">
                  <from>
                    <xdr:col>6</xdr:col>
                    <xdr:colOff>45720</xdr:colOff>
                    <xdr:row>46</xdr:row>
                    <xdr:rowOff>228600</xdr:rowOff>
                  </from>
                  <to>
                    <xdr:col>7</xdr:col>
                    <xdr:colOff>121920</xdr:colOff>
                    <xdr:row>48</xdr:row>
                    <xdr:rowOff>22860</xdr:rowOff>
                  </to>
                </anchor>
              </controlPr>
            </control>
          </mc:Choice>
        </mc:AlternateContent>
        <mc:AlternateContent xmlns:mc="http://schemas.openxmlformats.org/markup-compatibility/2006">
          <mc:Choice Requires="x14">
            <control shapeId="44034" r:id="rId5" name="Check Box 2">
              <controlPr defaultSize="0" autoFill="0" autoLine="0" autoPict="0">
                <anchor moveWithCells="1">
                  <from>
                    <xdr:col>14</xdr:col>
                    <xdr:colOff>45720</xdr:colOff>
                    <xdr:row>46</xdr:row>
                    <xdr:rowOff>228600</xdr:rowOff>
                  </from>
                  <to>
                    <xdr:col>15</xdr:col>
                    <xdr:colOff>121920</xdr:colOff>
                    <xdr:row>48</xdr:row>
                    <xdr:rowOff>22860</xdr:rowOff>
                  </to>
                </anchor>
              </controlPr>
            </control>
          </mc:Choice>
        </mc:AlternateContent>
        <mc:AlternateContent xmlns:mc="http://schemas.openxmlformats.org/markup-compatibility/2006">
          <mc:Choice Requires="x14">
            <control shapeId="44035" r:id="rId6" name="Check Box 3">
              <controlPr defaultSize="0" autoFill="0" autoLine="0" autoPict="0">
                <anchor moveWithCells="1">
                  <from>
                    <xdr:col>6</xdr:col>
                    <xdr:colOff>45720</xdr:colOff>
                    <xdr:row>47</xdr:row>
                    <xdr:rowOff>228600</xdr:rowOff>
                  </from>
                  <to>
                    <xdr:col>7</xdr:col>
                    <xdr:colOff>121920</xdr:colOff>
                    <xdr:row>49</xdr:row>
                    <xdr:rowOff>22860</xdr:rowOff>
                  </to>
                </anchor>
              </controlPr>
            </control>
          </mc:Choice>
        </mc:AlternateContent>
        <mc:AlternateContent xmlns:mc="http://schemas.openxmlformats.org/markup-compatibility/2006">
          <mc:Choice Requires="x14">
            <control shapeId="44036" r:id="rId7" name="Check Box 4">
              <controlPr defaultSize="0" autoFill="0" autoLine="0" autoPict="0">
                <anchor moveWithCells="1">
                  <from>
                    <xdr:col>14</xdr:col>
                    <xdr:colOff>45720</xdr:colOff>
                    <xdr:row>47</xdr:row>
                    <xdr:rowOff>228600</xdr:rowOff>
                  </from>
                  <to>
                    <xdr:col>15</xdr:col>
                    <xdr:colOff>121920</xdr:colOff>
                    <xdr:row>49</xdr:row>
                    <xdr:rowOff>22860</xdr:rowOff>
                  </to>
                </anchor>
              </controlPr>
            </control>
          </mc:Choice>
        </mc:AlternateContent>
        <mc:AlternateContent xmlns:mc="http://schemas.openxmlformats.org/markup-compatibility/2006">
          <mc:Choice Requires="x14">
            <control shapeId="44037" r:id="rId8" name="Check Box 5">
              <controlPr defaultSize="0" autoFill="0" autoLine="0" autoPict="0">
                <anchor moveWithCells="1">
                  <from>
                    <xdr:col>22</xdr:col>
                    <xdr:colOff>45720</xdr:colOff>
                    <xdr:row>47</xdr:row>
                    <xdr:rowOff>228600</xdr:rowOff>
                  </from>
                  <to>
                    <xdr:col>23</xdr:col>
                    <xdr:colOff>121920</xdr:colOff>
                    <xdr:row>49</xdr:row>
                    <xdr:rowOff>22860</xdr:rowOff>
                  </to>
                </anchor>
              </controlPr>
            </control>
          </mc:Choice>
        </mc:AlternateContent>
        <mc:AlternateContent xmlns:mc="http://schemas.openxmlformats.org/markup-compatibility/2006">
          <mc:Choice Requires="x14">
            <control shapeId="44038" r:id="rId9" name="Check Box 6">
              <controlPr defaultSize="0" autoFill="0" autoLine="0" autoPict="0">
                <anchor moveWithCells="1">
                  <from>
                    <xdr:col>6</xdr:col>
                    <xdr:colOff>45720</xdr:colOff>
                    <xdr:row>48</xdr:row>
                    <xdr:rowOff>228600</xdr:rowOff>
                  </from>
                  <to>
                    <xdr:col>7</xdr:col>
                    <xdr:colOff>121920</xdr:colOff>
                    <xdr:row>50</xdr:row>
                    <xdr:rowOff>22860</xdr:rowOff>
                  </to>
                </anchor>
              </controlPr>
            </control>
          </mc:Choice>
        </mc:AlternateContent>
        <mc:AlternateContent xmlns:mc="http://schemas.openxmlformats.org/markup-compatibility/2006">
          <mc:Choice Requires="x14">
            <control shapeId="44039" r:id="rId10" name="Check Box 7">
              <controlPr defaultSize="0" autoFill="0" autoLine="0" autoPict="0">
                <anchor moveWithCells="1">
                  <from>
                    <xdr:col>14</xdr:col>
                    <xdr:colOff>45720</xdr:colOff>
                    <xdr:row>48</xdr:row>
                    <xdr:rowOff>228600</xdr:rowOff>
                  </from>
                  <to>
                    <xdr:col>15</xdr:col>
                    <xdr:colOff>121920</xdr:colOff>
                    <xdr:row>50</xdr:row>
                    <xdr:rowOff>22860</xdr:rowOff>
                  </to>
                </anchor>
              </controlPr>
            </control>
          </mc:Choice>
        </mc:AlternateContent>
        <mc:AlternateContent xmlns:mc="http://schemas.openxmlformats.org/markup-compatibility/2006">
          <mc:Choice Requires="x14">
            <control shapeId="44040" r:id="rId11" name="Check Box 8">
              <controlPr defaultSize="0" autoFill="0" autoLine="0" autoPict="0">
                <anchor moveWithCells="1">
                  <from>
                    <xdr:col>22</xdr:col>
                    <xdr:colOff>45720</xdr:colOff>
                    <xdr:row>48</xdr:row>
                    <xdr:rowOff>228600</xdr:rowOff>
                  </from>
                  <to>
                    <xdr:col>23</xdr:col>
                    <xdr:colOff>121920</xdr:colOff>
                    <xdr:row>50</xdr:row>
                    <xdr:rowOff>22860</xdr:rowOff>
                  </to>
                </anchor>
              </controlPr>
            </control>
          </mc:Choice>
        </mc:AlternateContent>
        <mc:AlternateContent xmlns:mc="http://schemas.openxmlformats.org/markup-compatibility/2006">
          <mc:Choice Requires="x14">
            <control shapeId="44041" r:id="rId12" name="Check Box 9">
              <controlPr defaultSize="0" autoFill="0" autoLine="0" autoPict="0">
                <anchor moveWithCells="1">
                  <from>
                    <xdr:col>54</xdr:col>
                    <xdr:colOff>45720</xdr:colOff>
                    <xdr:row>34</xdr:row>
                    <xdr:rowOff>0</xdr:rowOff>
                  </from>
                  <to>
                    <xdr:col>56</xdr:col>
                    <xdr:colOff>30480</xdr:colOff>
                    <xdr:row>35</xdr:row>
                    <xdr:rowOff>22860</xdr:rowOff>
                  </to>
                </anchor>
              </controlPr>
            </control>
          </mc:Choice>
        </mc:AlternateContent>
        <mc:AlternateContent xmlns:mc="http://schemas.openxmlformats.org/markup-compatibility/2006">
          <mc:Choice Requires="x14">
            <control shapeId="44042" r:id="rId13" name="Check Box 10">
              <controlPr defaultSize="0" autoFill="0" autoLine="0" autoPict="0">
                <anchor moveWithCells="1">
                  <from>
                    <xdr:col>6</xdr:col>
                    <xdr:colOff>45720</xdr:colOff>
                    <xdr:row>51</xdr:row>
                    <xdr:rowOff>228600</xdr:rowOff>
                  </from>
                  <to>
                    <xdr:col>7</xdr:col>
                    <xdr:colOff>121920</xdr:colOff>
                    <xdr:row>53</xdr:row>
                    <xdr:rowOff>22860</xdr:rowOff>
                  </to>
                </anchor>
              </controlPr>
            </control>
          </mc:Choice>
        </mc:AlternateContent>
        <mc:AlternateContent xmlns:mc="http://schemas.openxmlformats.org/markup-compatibility/2006">
          <mc:Choice Requires="x14">
            <control shapeId="44043" r:id="rId14" name="Check Box 11">
              <controlPr defaultSize="0" autoFill="0" autoLine="0" autoPict="0">
                <anchor moveWithCells="1">
                  <from>
                    <xdr:col>39</xdr:col>
                    <xdr:colOff>45720</xdr:colOff>
                    <xdr:row>11</xdr:row>
                    <xdr:rowOff>228600</xdr:rowOff>
                  </from>
                  <to>
                    <xdr:col>40</xdr:col>
                    <xdr:colOff>121920</xdr:colOff>
                    <xdr:row>13</xdr:row>
                    <xdr:rowOff>22860</xdr:rowOff>
                  </to>
                </anchor>
              </controlPr>
            </control>
          </mc:Choice>
        </mc:AlternateContent>
        <mc:AlternateContent xmlns:mc="http://schemas.openxmlformats.org/markup-compatibility/2006">
          <mc:Choice Requires="x14">
            <control shapeId="44044" r:id="rId15" name="Check Box 12">
              <controlPr defaultSize="0" autoFill="0" autoLine="0" autoPict="0">
                <anchor moveWithCells="1">
                  <from>
                    <xdr:col>47</xdr:col>
                    <xdr:colOff>45720</xdr:colOff>
                    <xdr:row>11</xdr:row>
                    <xdr:rowOff>228600</xdr:rowOff>
                  </from>
                  <to>
                    <xdr:col>48</xdr:col>
                    <xdr:colOff>121920</xdr:colOff>
                    <xdr:row>13</xdr:row>
                    <xdr:rowOff>22860</xdr:rowOff>
                  </to>
                </anchor>
              </controlPr>
            </control>
          </mc:Choice>
        </mc:AlternateContent>
        <mc:AlternateContent xmlns:mc="http://schemas.openxmlformats.org/markup-compatibility/2006">
          <mc:Choice Requires="x14">
            <control shapeId="44045" r:id="rId16" name="Check Box 13">
              <controlPr defaultSize="0" autoFill="0" autoLine="0" autoPict="0">
                <anchor moveWithCells="1">
                  <from>
                    <xdr:col>6</xdr:col>
                    <xdr:colOff>45720</xdr:colOff>
                    <xdr:row>52</xdr:row>
                    <xdr:rowOff>198120</xdr:rowOff>
                  </from>
                  <to>
                    <xdr:col>7</xdr:col>
                    <xdr:colOff>121920</xdr:colOff>
                    <xdr:row>54</xdr:row>
                    <xdr:rowOff>0</xdr:rowOff>
                  </to>
                </anchor>
              </controlPr>
            </control>
          </mc:Choice>
        </mc:AlternateContent>
        <mc:AlternateContent xmlns:mc="http://schemas.openxmlformats.org/markup-compatibility/2006">
          <mc:Choice Requires="x14">
            <control shapeId="44046" r:id="rId17" name="Check Box 14">
              <controlPr defaultSize="0" autoFill="0" autoLine="0" autoPict="0">
                <anchor moveWithCells="1">
                  <from>
                    <xdr:col>35</xdr:col>
                    <xdr:colOff>38100</xdr:colOff>
                    <xdr:row>48</xdr:row>
                    <xdr:rowOff>213360</xdr:rowOff>
                  </from>
                  <to>
                    <xdr:col>36</xdr:col>
                    <xdr:colOff>121920</xdr:colOff>
                    <xdr:row>50</xdr:row>
                    <xdr:rowOff>7620</xdr:rowOff>
                  </to>
                </anchor>
              </controlPr>
            </control>
          </mc:Choice>
        </mc:AlternateContent>
        <mc:AlternateContent xmlns:mc="http://schemas.openxmlformats.org/markup-compatibility/2006">
          <mc:Choice Requires="x14">
            <control shapeId="44047" r:id="rId18" name="Check Box 15">
              <controlPr defaultSize="0" autoFill="0" autoLine="0" autoPict="0">
                <anchor moveWithCells="1">
                  <from>
                    <xdr:col>35</xdr:col>
                    <xdr:colOff>38100</xdr:colOff>
                    <xdr:row>55</xdr:row>
                    <xdr:rowOff>213360</xdr:rowOff>
                  </from>
                  <to>
                    <xdr:col>36</xdr:col>
                    <xdr:colOff>121920</xdr:colOff>
                    <xdr:row>57</xdr:row>
                    <xdr:rowOff>7620</xdr:rowOff>
                  </to>
                </anchor>
              </controlPr>
            </control>
          </mc:Choice>
        </mc:AlternateContent>
        <mc:AlternateContent xmlns:mc="http://schemas.openxmlformats.org/markup-compatibility/2006">
          <mc:Choice Requires="x14">
            <control shapeId="44048" r:id="rId19" name="Check Box 16">
              <controlPr defaultSize="0" autoFill="0" autoLine="0" autoPict="0">
                <anchor moveWithCells="1">
                  <from>
                    <xdr:col>36</xdr:col>
                    <xdr:colOff>38100</xdr:colOff>
                    <xdr:row>50</xdr:row>
                    <xdr:rowOff>213360</xdr:rowOff>
                  </from>
                  <to>
                    <xdr:col>37</xdr:col>
                    <xdr:colOff>121920</xdr:colOff>
                    <xdr:row>52</xdr:row>
                    <xdr:rowOff>7620</xdr:rowOff>
                  </to>
                </anchor>
              </controlPr>
            </control>
          </mc:Choice>
        </mc:AlternateContent>
        <mc:AlternateContent xmlns:mc="http://schemas.openxmlformats.org/markup-compatibility/2006">
          <mc:Choice Requires="x14">
            <control shapeId="44049" r:id="rId20" name="Check Box 17">
              <controlPr defaultSize="0" autoFill="0" autoLine="0" autoPict="0">
                <anchor moveWithCells="1">
                  <from>
                    <xdr:col>36</xdr:col>
                    <xdr:colOff>38100</xdr:colOff>
                    <xdr:row>51</xdr:row>
                    <xdr:rowOff>213360</xdr:rowOff>
                  </from>
                  <to>
                    <xdr:col>37</xdr:col>
                    <xdr:colOff>121920</xdr:colOff>
                    <xdr:row>53</xdr:row>
                    <xdr:rowOff>7620</xdr:rowOff>
                  </to>
                </anchor>
              </controlPr>
            </control>
          </mc:Choice>
        </mc:AlternateContent>
        <mc:AlternateContent xmlns:mc="http://schemas.openxmlformats.org/markup-compatibility/2006">
          <mc:Choice Requires="x14">
            <control shapeId="44050" r:id="rId21" name="Check Box 18">
              <controlPr defaultSize="0" autoFill="0" autoLine="0" autoPict="0">
                <anchor moveWithCells="1">
                  <from>
                    <xdr:col>36</xdr:col>
                    <xdr:colOff>38100</xdr:colOff>
                    <xdr:row>52</xdr:row>
                    <xdr:rowOff>213360</xdr:rowOff>
                  </from>
                  <to>
                    <xdr:col>37</xdr:col>
                    <xdr:colOff>121920</xdr:colOff>
                    <xdr:row>54</xdr:row>
                    <xdr:rowOff>7620</xdr:rowOff>
                  </to>
                </anchor>
              </controlPr>
            </control>
          </mc:Choice>
        </mc:AlternateContent>
        <mc:AlternateContent xmlns:mc="http://schemas.openxmlformats.org/markup-compatibility/2006">
          <mc:Choice Requires="x14">
            <control shapeId="44051" r:id="rId22" name="Check Box 19">
              <controlPr defaultSize="0" autoFill="0" autoLine="0" autoPict="0">
                <anchor moveWithCells="1">
                  <from>
                    <xdr:col>36</xdr:col>
                    <xdr:colOff>38100</xdr:colOff>
                    <xdr:row>53</xdr:row>
                    <xdr:rowOff>213360</xdr:rowOff>
                  </from>
                  <to>
                    <xdr:col>37</xdr:col>
                    <xdr:colOff>121920</xdr:colOff>
                    <xdr:row>55</xdr:row>
                    <xdr:rowOff>7620</xdr:rowOff>
                  </to>
                </anchor>
              </controlPr>
            </control>
          </mc:Choice>
        </mc:AlternateContent>
        <mc:AlternateContent xmlns:mc="http://schemas.openxmlformats.org/markup-compatibility/2006">
          <mc:Choice Requires="x14">
            <control shapeId="44052" r:id="rId23" name="Check Box 20">
              <controlPr defaultSize="0" autoFill="0" autoLine="0" autoPict="0">
                <anchor moveWithCells="1">
                  <from>
                    <xdr:col>6</xdr:col>
                    <xdr:colOff>45720</xdr:colOff>
                    <xdr:row>53</xdr:row>
                    <xdr:rowOff>228600</xdr:rowOff>
                  </from>
                  <to>
                    <xdr:col>7</xdr:col>
                    <xdr:colOff>121920</xdr:colOff>
                    <xdr:row>55</xdr:row>
                    <xdr:rowOff>22860</xdr:rowOff>
                  </to>
                </anchor>
              </controlPr>
            </control>
          </mc:Choice>
        </mc:AlternateContent>
        <mc:AlternateContent xmlns:mc="http://schemas.openxmlformats.org/markup-compatibility/2006">
          <mc:Choice Requires="x14">
            <control shapeId="44053" r:id="rId24" name="Check Box 21">
              <controlPr defaultSize="0" autoFill="0" autoLine="0" autoPict="0">
                <anchor moveWithCells="1">
                  <from>
                    <xdr:col>6</xdr:col>
                    <xdr:colOff>45720</xdr:colOff>
                    <xdr:row>50</xdr:row>
                    <xdr:rowOff>106680</xdr:rowOff>
                  </from>
                  <to>
                    <xdr:col>7</xdr:col>
                    <xdr:colOff>121920</xdr:colOff>
                    <xdr:row>51</xdr:row>
                    <xdr:rowOff>121920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4F51AA1-2937-4884-A884-85A27875BDEA}">
  <ds:schemaRefs>
    <ds:schemaRef ds:uri="http://schemas.microsoft.com/sharepoint/v3/contenttype/forms"/>
  </ds:schemaRefs>
</ds:datastoreItem>
</file>

<file path=customXml/itemProps2.xml><?xml version="1.0" encoding="utf-8"?>
<ds:datastoreItem xmlns:ds="http://schemas.openxmlformats.org/officeDocument/2006/customXml" ds:itemID="{174158CE-0C73-4956-A554-3A80D7225F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5D885C9A-42D7-4729-82A6-AF54459C24DB}">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旅行命令上申書（近距離・国内旅行</vt:lpstr>
      <vt:lpstr>旅行報告書兼精算依頼書（国内旅行</vt:lpstr>
      <vt:lpstr>記入例（国内旅行</vt:lpstr>
      <vt:lpstr>記入例旅行報告書兼精算依頼書（国内旅行</vt:lpstr>
      <vt:lpstr>旅行命令上申書（国外旅行</vt:lpstr>
      <vt:lpstr>旅行報告書兼精算依頼書 （国外旅行</vt:lpstr>
      <vt:lpstr>記入例 （国外旅行</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土屋　葵</cp:lastModifiedBy>
  <cp:lastPrinted>2022-03-30T09:45:15Z</cp:lastPrinted>
  <dcterms:created xsi:type="dcterms:W3CDTF">2022-01-25T05:44:26Z</dcterms:created>
  <dcterms:modified xsi:type="dcterms:W3CDTF">2023-07-25T06:55:59Z</dcterms:modified>
</cp:coreProperties>
</file>