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10.133.9.198\hirabayashi\CODE\業務効率化\annual_schedule_app\template\"/>
    </mc:Choice>
  </mc:AlternateContent>
  <xr:revisionPtr revIDLastSave="0" documentId="13_ncr:1_{6BA1B26D-E237-4DF0-802A-801FA8938A5F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休日振替簿（入力用）" sheetId="13" r:id="rId1"/>
    <sheet name="休日振替簿（見本）" sheetId="15" r:id="rId2"/>
    <sheet name="休日振替簿（手書き用）_PDF化" sheetId="16" r:id="rId3"/>
    <sheet name="プルダウン用シート" sheetId="12" r:id="rId4"/>
  </sheets>
  <definedNames>
    <definedName name="_xlnm._FilterDatabase" localSheetId="3" hidden="1">プルダウン用シート!$A$2:$C$2</definedName>
    <definedName name="_xlnm.Print_Area" localSheetId="1">'休日振替簿（見本）'!$A$1:$V$40</definedName>
    <definedName name="_xlnm.Print_Area" localSheetId="2">'休日振替簿（手書き用）_PDF化'!$A$1:$V$40</definedName>
    <definedName name="_xlnm.Print_Area" localSheetId="0">'休日振替簿（入力用）'!$A$1:$V$40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13" l="1"/>
  <c r="C49" i="16"/>
  <c r="C48" i="16"/>
  <c r="X28" i="16"/>
  <c r="W28" i="16"/>
  <c r="X27" i="16"/>
  <c r="W27" i="16"/>
  <c r="D27" i="16"/>
  <c r="X24" i="16"/>
  <c r="W24" i="16"/>
  <c r="X23" i="16"/>
  <c r="W23" i="16"/>
  <c r="D23" i="16"/>
  <c r="X20" i="16"/>
  <c r="W20" i="16"/>
  <c r="X19" i="16"/>
  <c r="W19" i="16"/>
  <c r="D19" i="16"/>
  <c r="X16" i="16"/>
  <c r="W16" i="16"/>
  <c r="X15" i="16"/>
  <c r="W15" i="16"/>
  <c r="D15" i="16"/>
  <c r="X12" i="16"/>
  <c r="W12" i="16"/>
  <c r="X11" i="16"/>
  <c r="W11" i="16"/>
  <c r="D11" i="16"/>
  <c r="C49" i="15" l="1"/>
  <c r="C48" i="15"/>
  <c r="X28" i="15"/>
  <c r="W28" i="15"/>
  <c r="X27" i="15"/>
  <c r="W27" i="15"/>
  <c r="G27" i="15"/>
  <c r="E27" i="15"/>
  <c r="D27" i="15"/>
  <c r="C27" i="15"/>
  <c r="X24" i="15"/>
  <c r="W24" i="15"/>
  <c r="X23" i="15"/>
  <c r="W23" i="15"/>
  <c r="G23" i="15"/>
  <c r="E23" i="15"/>
  <c r="D23" i="15"/>
  <c r="C23" i="15"/>
  <c r="X20" i="15"/>
  <c r="W20" i="15"/>
  <c r="X19" i="15"/>
  <c r="W19" i="15"/>
  <c r="G19" i="15"/>
  <c r="E19" i="15"/>
  <c r="D19" i="15"/>
  <c r="C19" i="15"/>
  <c r="X16" i="15"/>
  <c r="W16" i="15"/>
  <c r="X15" i="15"/>
  <c r="W15" i="15"/>
  <c r="G15" i="15"/>
  <c r="E15" i="15"/>
  <c r="D15" i="15"/>
  <c r="C15" i="15"/>
  <c r="X12" i="15"/>
  <c r="W12" i="15"/>
  <c r="X11" i="15"/>
  <c r="W11" i="15"/>
  <c r="G11" i="15"/>
  <c r="E11" i="15"/>
  <c r="D11" i="15"/>
  <c r="C11" i="15"/>
  <c r="G27" i="13" l="1"/>
  <c r="G23" i="13"/>
  <c r="G19" i="13"/>
  <c r="G11" i="13"/>
  <c r="C49" i="13" l="1"/>
  <c r="C48" i="13"/>
  <c r="X28" i="13"/>
  <c r="W28" i="13"/>
  <c r="X27" i="13"/>
  <c r="W27" i="13"/>
  <c r="E27" i="13"/>
  <c r="D27" i="13"/>
  <c r="C27" i="13"/>
  <c r="X24" i="13"/>
  <c r="W24" i="13"/>
  <c r="X23" i="13"/>
  <c r="W23" i="13"/>
  <c r="E23" i="13"/>
  <c r="D23" i="13"/>
  <c r="C23" i="13"/>
  <c r="X20" i="13"/>
  <c r="W20" i="13"/>
  <c r="X19" i="13"/>
  <c r="W19" i="13"/>
  <c r="E19" i="13"/>
  <c r="D19" i="13"/>
  <c r="C19" i="13"/>
  <c r="X16" i="13"/>
  <c r="W16" i="13"/>
  <c r="X15" i="13"/>
  <c r="W15" i="13"/>
  <c r="G15" i="13"/>
  <c r="E15" i="13"/>
  <c r="D15" i="13"/>
  <c r="C15" i="13"/>
  <c r="X12" i="13"/>
  <c r="W12" i="13"/>
  <c r="W11" i="13"/>
  <c r="E11" i="13"/>
  <c r="D11" i="13"/>
  <c r="C11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1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11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L11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13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C13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A14" authorId="0" shapeId="0" xr:uid="{00000000-0006-0000-0000-000006000000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C14" authorId="0" shapeId="0" xr:uid="{00000000-0006-0000-0000-000007000000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A15" authorId="0" shapeId="0" xr:uid="{64076F1D-5468-4B16-9EBC-9ECAA4C5FDCF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15" authorId="0" shapeId="0" xr:uid="{92EE3DA7-C599-498E-8C69-5DFC4C6920C4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L15" authorId="0" shapeId="0" xr:uid="{70E9A210-8ECC-496D-A109-03148EC98E89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17" authorId="0" shapeId="0" xr:uid="{00000000-0006-0000-0000-00000B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C17" authorId="0" shapeId="0" xr:uid="{00000000-0006-0000-0000-00000C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A18" authorId="0" shapeId="0" xr:uid="{00000000-0006-0000-0000-00000D000000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C18" authorId="0" shapeId="0" xr:uid="{00000000-0006-0000-0000-00000E000000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A19" authorId="0" shapeId="0" xr:uid="{74628ACB-8462-4008-AA0B-0763801701F3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19" authorId="0" shapeId="0" xr:uid="{A562BAE6-A02A-42AE-8163-4116B8B76C6C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L19" authorId="0" shapeId="0" xr:uid="{5567C84B-2F93-4FCB-9BBB-08EAE0073BEB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21" authorId="0" shapeId="0" xr:uid="{00000000-0006-0000-0000-00001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C21" authorId="0" shapeId="0" xr:uid="{00000000-0006-0000-0000-000013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A22" authorId="0" shapeId="0" xr:uid="{00000000-0006-0000-0000-000014000000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C22" authorId="0" shapeId="0" xr:uid="{00000000-0006-0000-0000-000015000000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A23" authorId="0" shapeId="0" xr:uid="{5FA1C02E-CEDA-47B5-98AA-E31355A10B94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23" authorId="0" shapeId="0" xr:uid="{817F29E8-375C-4F26-9E3F-C9FBF027534D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L23" authorId="0" shapeId="0" xr:uid="{89F02753-B656-4901-96F4-3533AB5BCBDC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25" authorId="0" shapeId="0" xr:uid="{00000000-0006-0000-0000-000019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C25" authorId="0" shapeId="0" xr:uid="{00000000-0006-0000-0000-00001A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A26" authorId="0" shapeId="0" xr:uid="{00000000-0006-0000-0000-00001B000000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C26" authorId="0" shapeId="0" xr:uid="{00000000-0006-0000-0000-00001C000000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A27" authorId="0" shapeId="0" xr:uid="{89AC659A-16A6-4959-976F-39E3D3D8D976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27" authorId="0" shapeId="0" xr:uid="{5A758D79-410E-46DA-B138-088220727166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L27" authorId="0" shapeId="0" xr:uid="{9DB1C13C-BC92-47F7-B5FF-7BBFD82854BB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29" authorId="0" shapeId="0" xr:uid="{00000000-0006-0000-0000-000020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C29" authorId="0" shapeId="0" xr:uid="{00000000-0006-0000-0000-00002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A30" authorId="0" shapeId="0" xr:uid="{00000000-0006-0000-0000-000022000000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C30" authorId="0" shapeId="0" xr:uid="{00000000-0006-0000-0000-000023000000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1" authorId="0" shapeId="0" xr:uid="{10900BA7-90A6-4955-92E2-1DD3E6357796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11" authorId="0" shapeId="0" xr:uid="{4AB28F11-2C59-47B5-A8ED-F0756A5348D3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L11" authorId="0" shapeId="0" xr:uid="{AFECA637-C32B-4296-92EF-94A6712C3A0B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13" authorId="0" shapeId="0" xr:uid="{902CE0CC-D657-4B00-A781-E143F94222D5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C13" authorId="0" shapeId="0" xr:uid="{75409B29-D084-41C0-9FDC-595AA24F50A1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A14" authorId="0" shapeId="0" xr:uid="{3FD2C5B9-1296-4EB8-BBF3-A0D2EF2E6BA0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C14" authorId="0" shapeId="0" xr:uid="{CA67FEB7-6A26-435B-A38F-797F374490B2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A15" authorId="0" shapeId="0" xr:uid="{19DC5669-0728-43CE-8937-9CE041E0C3CB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15" authorId="0" shapeId="0" xr:uid="{FE43B040-0646-4B22-898E-71C49DB99C03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L15" authorId="0" shapeId="0" xr:uid="{BB324529-2A81-4981-82E3-D6E434A69780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17" authorId="0" shapeId="0" xr:uid="{5EA52057-DDE4-4E9A-88FC-81D5D4DDBDA7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C17" authorId="0" shapeId="0" xr:uid="{05352C50-5D56-472B-9EF4-9AACF9BA6E77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A18" authorId="0" shapeId="0" xr:uid="{8B97C865-7EA3-48C5-A0D8-82256B78E8E8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C18" authorId="0" shapeId="0" xr:uid="{BDE664C4-84BC-41C2-81F9-358458B4E731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A19" authorId="0" shapeId="0" xr:uid="{3BE40156-2F61-4E62-976A-78D024B54926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19" authorId="0" shapeId="0" xr:uid="{7BDB0A5E-835E-4EA8-B232-1990F52798BA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L19" authorId="0" shapeId="0" xr:uid="{1C2CEFD4-D6B0-4009-80C7-60BE3B104555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21" authorId="0" shapeId="0" xr:uid="{FA2A6F9A-520D-43FC-82D3-704C914E0F61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C21" authorId="0" shapeId="0" xr:uid="{BF0714C4-EB3E-48D7-85C3-D2DDF24A3867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A22" authorId="0" shapeId="0" xr:uid="{9815A882-BAD8-407E-ACD3-3F6636F1018C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C22" authorId="0" shapeId="0" xr:uid="{F6476DB0-3390-483D-9A04-93E3E81BC7EA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A23" authorId="0" shapeId="0" xr:uid="{D3DC4657-2568-4AA7-80F9-B7229DBC3A4A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23" authorId="0" shapeId="0" xr:uid="{559795FD-71F7-47C1-8F62-3BA5E9667B1F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L23" authorId="0" shapeId="0" xr:uid="{4B775982-467B-4020-8AD7-72493F310586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25" authorId="0" shapeId="0" xr:uid="{D2B8E842-0625-404A-9B5F-A78BDB463C6D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C25" authorId="0" shapeId="0" xr:uid="{EA8EFADE-22FB-4FA8-B163-913DB01467F7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A26" authorId="0" shapeId="0" xr:uid="{D0611C08-D546-4FC7-9F8D-304059599EA3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C26" authorId="0" shapeId="0" xr:uid="{2EDC811A-5774-4757-B921-67CC90555FCF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A27" authorId="0" shapeId="0" xr:uid="{2FE52B10-6A9B-47FD-B9E3-A384A1A66C50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27" authorId="0" shapeId="0" xr:uid="{7ED9FE76-9102-4311-97F3-D0F028451459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L27" authorId="0" shapeId="0" xr:uid="{3D1C16B5-FD7D-4BCA-BF2D-80409913CEBA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29" authorId="0" shapeId="0" xr:uid="{6FFC9020-013F-44A2-8E0C-738E553E223A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C29" authorId="0" shapeId="0" xr:uid="{00F09C43-7150-41C8-8416-C2DD769E2B8C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A30" authorId="0" shapeId="0" xr:uid="{7A28E597-AD0C-43AB-B990-AB83E16BDDA3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C30" authorId="0" shapeId="0" xr:uid="{DA257A9C-053A-4452-BA7A-0E9519B88C1D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1" authorId="0" shapeId="0" xr:uid="{14D703BD-9F3B-4969-BA25-4CB9CBF3B28A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11" authorId="0" shapeId="0" xr:uid="{29749069-0517-4340-84E8-7CA66FEAF646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L11" authorId="0" shapeId="0" xr:uid="{0C035804-9813-4A55-9DFE-8DC8355858D6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13" authorId="0" shapeId="0" xr:uid="{F43D86A1-CDEC-4F16-AA85-B285B1523A5E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A14" authorId="0" shapeId="0" xr:uid="{B2F39C6C-52A6-48FF-9236-9E7C346B8E27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A15" authorId="0" shapeId="0" xr:uid="{77D244A4-E346-4EB0-88EC-8E69D4B729FF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15" authorId="0" shapeId="0" xr:uid="{6A7B0A03-BC65-45A0-B307-2268E5101DD4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L15" authorId="0" shapeId="0" xr:uid="{D864629F-A3F1-4E55-9DAE-74F8FCC1FC74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17" authorId="0" shapeId="0" xr:uid="{0D099CC7-4EE8-4505-9DE0-89E18F8C3917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A18" authorId="0" shapeId="0" xr:uid="{FB227D3E-7255-4230-A19F-64A1012817BB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A19" authorId="0" shapeId="0" xr:uid="{5F2B588F-7E42-4FA6-912E-AEC7526522DF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19" authorId="0" shapeId="0" xr:uid="{2FD5B8D0-2D41-4DEE-86B0-B330AB306925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L19" authorId="0" shapeId="0" xr:uid="{331B3973-5389-4814-AFD9-8E4F15BC6450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21" authorId="0" shapeId="0" xr:uid="{69EB163C-869A-46B7-880B-E0E29C91468B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A22" authorId="0" shapeId="0" xr:uid="{F38F191A-34C1-4319-A742-4AC1C433B4F4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A23" authorId="0" shapeId="0" xr:uid="{BB93A91D-B48C-4A60-ADF4-60609CDBC8F8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23" authorId="0" shapeId="0" xr:uid="{2F12F0A0-0521-469D-A89B-F9F79DB91F4A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L23" authorId="0" shapeId="0" xr:uid="{34AFC775-AA01-4383-A145-F9F5CDD9CB75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25" authorId="0" shapeId="0" xr:uid="{7C7C943A-C2B8-4B2E-9247-A6AD41E43F78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A26" authorId="0" shapeId="0" xr:uid="{0224633D-D9BF-487F-9E92-753BEE6C7FA6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  <comment ref="A27" authorId="0" shapeId="0" xr:uid="{FB3D6629-1055-4846-8B7F-2CBA73226B57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27" authorId="0" shapeId="0" xr:uid="{0E015374-5131-4481-838E-7C967B7AF96B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L27" authorId="0" shapeId="0" xr:uid="{0B351089-6E3C-4E8E-B569-5BE301A9410C}">
      <text>
        <r>
          <rPr>
            <b/>
            <sz val="9"/>
            <color indexed="81"/>
            <rFont val="ＭＳ Ｐゴシック"/>
            <family val="3"/>
            <charset val="128"/>
          </rPr>
          <t>日付は、4/1など、
月/日で入力してください（令和ｘｘ年xx月ｘｘ日で表示されます）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29" authorId="0" shapeId="0" xr:uid="{C9EA8D8F-3E8B-41CC-80F4-59D0FA3B214D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従事時間を入力してください。　例１２：３０
</t>
        </r>
      </text>
    </comment>
    <comment ref="A30" authorId="0" shapeId="0" xr:uid="{4D696AB8-3A34-4380-A61A-BB2EF0FA40E2}">
      <text>
        <r>
          <rPr>
            <b/>
            <sz val="9"/>
            <color theme="1"/>
            <rFont val="ＭＳ Ｐゴシック"/>
            <family val="3"/>
            <charset val="128"/>
            <scheme val="minor"/>
          </rPr>
          <t>休憩時間を入力してください　　例１２：３０</t>
        </r>
        <r>
          <rPr>
            <b/>
            <sz val="11"/>
            <color theme="1"/>
            <rFont val="ＭＳ Ｐゴシック"/>
            <family val="3"/>
            <charset val="128"/>
            <scheme val="minor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龍田 寿美</author>
  </authors>
  <commentList>
    <comment ref="B2" authorId="0" shapeId="0" xr:uid="{00000000-0006-0000-0300-000001000000}">
      <text>
        <r>
          <rPr>
            <sz val="20"/>
            <color indexed="81"/>
            <rFont val="MS P ゴシック"/>
            <family val="3"/>
            <charset val="128"/>
          </rPr>
          <t xml:space="preserve">
西暦から入力すること（出勤簿も「年」の情報を持っているため）
</t>
        </r>
      </text>
    </comment>
  </commentList>
</comments>
</file>

<file path=xl/sharedStrings.xml><?xml version="1.0" encoding="utf-8"?>
<sst xmlns="http://schemas.openxmlformats.org/spreadsheetml/2006/main" count="336" uniqueCount="110">
  <si>
    <t>従事日（曜日）及び従事時間</t>
    <rPh sb="0" eb="2">
      <t>ジュウジ</t>
    </rPh>
    <rPh sb="2" eb="3">
      <t>ビ</t>
    </rPh>
    <rPh sb="4" eb="6">
      <t>ヨウビ</t>
    </rPh>
    <rPh sb="7" eb="8">
      <t>オヨ</t>
    </rPh>
    <rPh sb="9" eb="11">
      <t>ジュウジ</t>
    </rPh>
    <rPh sb="11" eb="13">
      <t>ジカン</t>
    </rPh>
    <phoneticPr fontId="1"/>
  </si>
  <si>
    <t>（うち休憩時間等）</t>
    <rPh sb="3" eb="5">
      <t>キュウケイ</t>
    </rPh>
    <rPh sb="5" eb="7">
      <t>ジカン</t>
    </rPh>
    <rPh sb="7" eb="8">
      <t>ナド</t>
    </rPh>
    <phoneticPr fontId="1"/>
  </si>
  <si>
    <t>まで</t>
    <phoneticPr fontId="1"/>
  </si>
  <si>
    <t>担当者</t>
    <rPh sb="0" eb="3">
      <t>タントウシャ</t>
    </rPh>
    <phoneticPr fontId="1"/>
  </si>
  <si>
    <t>備考</t>
    <rPh sb="0" eb="2">
      <t>ビコウ</t>
    </rPh>
    <phoneticPr fontId="1"/>
  </si>
  <si>
    <t>管理用</t>
    <rPh sb="0" eb="3">
      <t>カンリヨウ</t>
    </rPh>
    <phoneticPr fontId="1"/>
  </si>
  <si>
    <t>土曜日</t>
  </si>
  <si>
    <t>月曜日</t>
    <rPh sb="0" eb="3">
      <t>ゲツヨウビ</t>
    </rPh>
    <phoneticPr fontId="1"/>
  </si>
  <si>
    <t>火曜日</t>
  </si>
  <si>
    <t>水曜日</t>
  </si>
  <si>
    <t>木曜日</t>
  </si>
  <si>
    <t>金曜日</t>
  </si>
  <si>
    <t>日曜日</t>
  </si>
  <si>
    <t>～</t>
    <phoneticPr fontId="1"/>
  </si>
  <si>
    <t>コース名</t>
    <rPh sb="3" eb="4">
      <t>メイ</t>
    </rPh>
    <phoneticPr fontId="1"/>
  </si>
  <si>
    <t>職員番号</t>
    <rPh sb="0" eb="2">
      <t>ショクイン</t>
    </rPh>
    <rPh sb="2" eb="4">
      <t>バンゴウ</t>
    </rPh>
    <phoneticPr fontId="1"/>
  </si>
  <si>
    <t>業務内容</t>
    <rPh sb="0" eb="2">
      <t>ギョウム</t>
    </rPh>
    <rPh sb="2" eb="4">
      <t>ナイヨウ</t>
    </rPh>
    <phoneticPr fontId="1"/>
  </si>
  <si>
    <t>氏名</t>
    <rPh sb="0" eb="2">
      <t>シメイ</t>
    </rPh>
    <phoneticPr fontId="1"/>
  </si>
  <si>
    <t>（4ヶ月）</t>
    <rPh sb="3" eb="4">
      <t>ゲツ</t>
    </rPh>
    <phoneticPr fontId="1"/>
  </si>
  <si>
    <t>勤務時間帯</t>
    <rPh sb="0" eb="2">
      <t>キンム</t>
    </rPh>
    <rPh sb="2" eb="5">
      <t>ジカンタイ</t>
    </rPh>
    <phoneticPr fontId="1"/>
  </si>
  <si>
    <t>祝日・年末年始休暇・行事予定</t>
    <rPh sb="0" eb="2">
      <t>シュクジツ</t>
    </rPh>
    <rPh sb="3" eb="5">
      <t>ネンマツ</t>
    </rPh>
    <rPh sb="5" eb="7">
      <t>ネンシ</t>
    </rPh>
    <rPh sb="7" eb="9">
      <t>キュウカ</t>
    </rPh>
    <rPh sb="10" eb="12">
      <t>ギョウジ</t>
    </rPh>
    <rPh sb="12" eb="14">
      <t>ヨテイ</t>
    </rPh>
    <phoneticPr fontId="1"/>
  </si>
  <si>
    <t>A勤</t>
    <rPh sb="1" eb="2">
      <t>ツトム</t>
    </rPh>
    <phoneticPr fontId="1"/>
  </si>
  <si>
    <t>B勤</t>
    <rPh sb="1" eb="2">
      <t>キン</t>
    </rPh>
    <phoneticPr fontId="1"/>
  </si>
  <si>
    <t>C勤</t>
    <rPh sb="1" eb="2">
      <t>キン</t>
    </rPh>
    <phoneticPr fontId="1"/>
  </si>
  <si>
    <t>D勤</t>
    <rPh sb="1" eb="2">
      <t>キン</t>
    </rPh>
    <phoneticPr fontId="1"/>
  </si>
  <si>
    <t>成人の日</t>
  </si>
  <si>
    <t>E勤</t>
    <rPh sb="1" eb="2">
      <t>キン</t>
    </rPh>
    <phoneticPr fontId="1"/>
  </si>
  <si>
    <t>建国記念の日</t>
  </si>
  <si>
    <t>春分の日</t>
  </si>
  <si>
    <t>休日</t>
    <rPh sb="0" eb="2">
      <t>キュウジツ</t>
    </rPh>
    <phoneticPr fontId="1"/>
  </si>
  <si>
    <t>昭和の日</t>
  </si>
  <si>
    <t>憲法記念日</t>
  </si>
  <si>
    <t>曜日</t>
    <rPh sb="0" eb="2">
      <t>ヨウビ</t>
    </rPh>
    <phoneticPr fontId="1"/>
  </si>
  <si>
    <t>みどりの日</t>
  </si>
  <si>
    <t>土</t>
    <rPh sb="0" eb="1">
      <t>ド</t>
    </rPh>
    <phoneticPr fontId="1"/>
  </si>
  <si>
    <t>こどもの日</t>
  </si>
  <si>
    <t>日</t>
    <rPh sb="0" eb="1">
      <t>ニチ</t>
    </rPh>
    <phoneticPr fontId="1"/>
  </si>
  <si>
    <t>海の日</t>
  </si>
  <si>
    <t>山の日</t>
  </si>
  <si>
    <t>差の理由</t>
    <rPh sb="0" eb="1">
      <t>サ</t>
    </rPh>
    <rPh sb="2" eb="4">
      <t>リユウ</t>
    </rPh>
    <phoneticPr fontId="1"/>
  </si>
  <si>
    <t>敬老の日</t>
  </si>
  <si>
    <t>個人的事情で滞留</t>
    <rPh sb="0" eb="3">
      <t>コジンテキ</t>
    </rPh>
    <rPh sb="3" eb="5">
      <t>ジジョウ</t>
    </rPh>
    <rPh sb="6" eb="8">
      <t>タイリュウ</t>
    </rPh>
    <phoneticPr fontId="1"/>
  </si>
  <si>
    <t>秋分の日</t>
  </si>
  <si>
    <t>別途、時間外勤務申請</t>
    <rPh sb="0" eb="2">
      <t>ベット</t>
    </rPh>
    <rPh sb="8" eb="10">
      <t>シンセイ</t>
    </rPh>
    <phoneticPr fontId="1"/>
  </si>
  <si>
    <t>その他（備考に記載）</t>
    <rPh sb="2" eb="3">
      <t>タ</t>
    </rPh>
    <rPh sb="4" eb="6">
      <t>ビコウ</t>
    </rPh>
    <rPh sb="7" eb="9">
      <t>キサイ</t>
    </rPh>
    <phoneticPr fontId="1"/>
  </si>
  <si>
    <t>文化の日</t>
  </si>
  <si>
    <t>勤労感謝の日</t>
  </si>
  <si>
    <t>天皇誕生日</t>
  </si>
  <si>
    <t>元日</t>
  </si>
  <si>
    <t>休日</t>
  </si>
  <si>
    <t>スポーツの日</t>
  </si>
  <si>
    <t>振替期限（半日以上のみ）</t>
    <rPh sb="0" eb="2">
      <t>フリカエ</t>
    </rPh>
    <rPh sb="2" eb="4">
      <t>キゲン</t>
    </rPh>
    <rPh sb="5" eb="7">
      <t>ハンニチ</t>
    </rPh>
    <rPh sb="7" eb="9">
      <t>イジョウ</t>
    </rPh>
    <phoneticPr fontId="1"/>
  </si>
  <si>
    <t>ver</t>
    <phoneticPr fontId="1"/>
  </si>
  <si>
    <t>　記入上の注意：</t>
    <rPh sb="1" eb="3">
      <t>キニュウ</t>
    </rPh>
    <rPh sb="3" eb="4">
      <t>ジョウ</t>
    </rPh>
    <rPh sb="5" eb="7">
      <t>チュウイ</t>
    </rPh>
    <phoneticPr fontId="1"/>
  </si>
  <si>
    <t>月分</t>
    <rPh sb="0" eb="1">
      <t>ツキ</t>
    </rPh>
    <phoneticPr fontId="1"/>
  </si>
  <si>
    <t>勤務
時間数</t>
    <rPh sb="0" eb="2">
      <t>キンム</t>
    </rPh>
    <rPh sb="3" eb="5">
      <t>ジカン</t>
    </rPh>
    <rPh sb="5" eb="6">
      <t>スウ</t>
    </rPh>
    <phoneticPr fontId="1"/>
  </si>
  <si>
    <t>年末年始休暇</t>
    <rPh sb="0" eb="2">
      <t>ネンマツ</t>
    </rPh>
    <rPh sb="2" eb="4">
      <t>ネンシ</t>
    </rPh>
    <rPh sb="4" eb="6">
      <t>キュウカ</t>
    </rPh>
    <phoneticPr fontId="3"/>
  </si>
  <si>
    <t>③．（うち休憩時間等）欄に記載する時間は、食事のための自由時間を含む。　</t>
    <rPh sb="11" eb="12">
      <t>ラン</t>
    </rPh>
    <rPh sb="13" eb="15">
      <t>キサイ</t>
    </rPh>
    <rPh sb="17" eb="19">
      <t>ジカン</t>
    </rPh>
    <phoneticPr fontId="2"/>
  </si>
  <si>
    <t>④．勤務時間が6時間を超える場合は45分、8時間を超える場合は60分の休憩時間をとることが労働基準法で定められています。</t>
    <phoneticPr fontId="2"/>
  </si>
  <si>
    <t>クラブ名</t>
    <rPh sb="3" eb="4">
      <t>メイ</t>
    </rPh>
    <phoneticPr fontId="1"/>
  </si>
  <si>
    <t>場所</t>
    <rPh sb="0" eb="2">
      <t>バショ</t>
    </rPh>
    <phoneticPr fontId="1"/>
  </si>
  <si>
    <t>（クラブ付添時はクラブ名まで記入）</t>
    <phoneticPr fontId="1"/>
  </si>
  <si>
    <t>副校長</t>
    <rPh sb="0" eb="3">
      <t>フクコウチョウ</t>
    </rPh>
    <phoneticPr fontId="1"/>
  </si>
  <si>
    <t>（全日・前半日・後半日いずれかを選択してください）</t>
    <rPh sb="1" eb="2">
      <t>ゼン</t>
    </rPh>
    <rPh sb="2" eb="3">
      <t>ジツ</t>
    </rPh>
    <rPh sb="4" eb="6">
      <t>ゼンハン</t>
    </rPh>
    <rPh sb="6" eb="7">
      <t>ニチ</t>
    </rPh>
    <rPh sb="8" eb="10">
      <t>コウハン</t>
    </rPh>
    <rPh sb="10" eb="11">
      <t>ニチ</t>
    </rPh>
    <rPh sb="16" eb="18">
      <t>センタク</t>
    </rPh>
    <phoneticPr fontId="1"/>
  </si>
  <si>
    <t>前半日</t>
  </si>
  <si>
    <t>2024年度</t>
    <rPh sb="4" eb="6">
      <t>ネンド</t>
    </rPh>
    <phoneticPr fontId="1"/>
  </si>
  <si>
    <t>2025年度</t>
    <rPh sb="4" eb="6">
      <t>ネンド</t>
    </rPh>
    <phoneticPr fontId="1"/>
  </si>
  <si>
    <t>休日</t>
    <phoneticPr fontId="1"/>
  </si>
  <si>
    <t>元日</t>
    <phoneticPr fontId="1"/>
  </si>
  <si>
    <t>成人の日</t>
    <phoneticPr fontId="1"/>
  </si>
  <si>
    <t>建国記念の日</t>
    <phoneticPr fontId="1"/>
  </si>
  <si>
    <t>天皇誕生日</t>
    <phoneticPr fontId="1"/>
  </si>
  <si>
    <t>春分の日</t>
    <phoneticPr fontId="1"/>
  </si>
  <si>
    <t>2026年度</t>
    <rPh sb="4" eb="6">
      <t>ネンド</t>
    </rPh>
    <phoneticPr fontId="1"/>
  </si>
  <si>
    <t>昭和の日</t>
    <phoneticPr fontId="1"/>
  </si>
  <si>
    <t>憲法記念日</t>
    <phoneticPr fontId="1"/>
  </si>
  <si>
    <t>みどりの日</t>
    <phoneticPr fontId="1"/>
  </si>
  <si>
    <t>こどもの日</t>
    <phoneticPr fontId="1"/>
  </si>
  <si>
    <t>海の日</t>
    <phoneticPr fontId="1"/>
  </si>
  <si>
    <t>山の日</t>
    <phoneticPr fontId="1"/>
  </si>
  <si>
    <t>敬老の日</t>
    <phoneticPr fontId="1"/>
  </si>
  <si>
    <t>国民の休日</t>
    <rPh sb="0" eb="2">
      <t>コクミン</t>
    </rPh>
    <rPh sb="3" eb="5">
      <t>キュウジツ</t>
    </rPh>
    <phoneticPr fontId="1"/>
  </si>
  <si>
    <t>秋分の日</t>
    <phoneticPr fontId="1"/>
  </si>
  <si>
    <t>スポーツの日</t>
    <phoneticPr fontId="1"/>
  </si>
  <si>
    <t>文化の日</t>
    <phoneticPr fontId="1"/>
  </si>
  <si>
    <t>勤労感謝の日</t>
    <phoneticPr fontId="1"/>
  </si>
  <si>
    <t>後半日</t>
  </si>
  <si>
    <t>全日</t>
  </si>
  <si>
    <t>⑤．「休憩は、労働時間の途中に与えなければならない」（法第34条第1項）とされ、「始業後すぐ」または「終業直前」に休憩を与えるのは違法と判断されます。ただし、休憩時間が一括か分割かは不問です。</t>
    <phoneticPr fontId="1"/>
  </si>
  <si>
    <t>②．振替は勤務日の前後4ヶ月までに取得して下さい。</t>
    <rPh sb="2" eb="4">
      <t>フリカエ</t>
    </rPh>
    <rPh sb="5" eb="8">
      <t>キンムビ</t>
    </rPh>
    <rPh sb="9" eb="11">
      <t>ゼンゴ</t>
    </rPh>
    <rPh sb="13" eb="14">
      <t>ゲツ</t>
    </rPh>
    <rPh sb="17" eb="19">
      <t>シュトク</t>
    </rPh>
    <rPh sb="21" eb="22">
      <t>クダ</t>
    </rPh>
    <phoneticPr fontId="1"/>
  </si>
  <si>
    <t>①．全日又は半日（4時間）に満たない勤務時間となった場合は、別途、時間単位年休を申請して下さい。</t>
    <rPh sb="2" eb="4">
      <t>ゼンジツ</t>
    </rPh>
    <rPh sb="4" eb="5">
      <t>マタ</t>
    </rPh>
    <rPh sb="6" eb="8">
      <t>ハンニチ</t>
    </rPh>
    <rPh sb="10" eb="12">
      <t>ジカン</t>
    </rPh>
    <rPh sb="14" eb="15">
      <t>ミ</t>
    </rPh>
    <rPh sb="18" eb="22">
      <t>キンムジカン</t>
    </rPh>
    <rPh sb="26" eb="28">
      <t>バアイ</t>
    </rPh>
    <rPh sb="30" eb="32">
      <t>ベット</t>
    </rPh>
    <rPh sb="33" eb="37">
      <t>ジカンタンイ</t>
    </rPh>
    <rPh sb="37" eb="39">
      <t>ネンキュウ</t>
    </rPh>
    <rPh sb="40" eb="42">
      <t>シンセイ</t>
    </rPh>
    <rPh sb="44" eb="45">
      <t>クダ</t>
    </rPh>
    <phoneticPr fontId="1"/>
  </si>
  <si>
    <t>【　高　専　】　　休　日　振　替　簿</t>
    <rPh sb="2" eb="3">
      <t>タカ</t>
    </rPh>
    <rPh sb="4" eb="5">
      <t>セン</t>
    </rPh>
    <rPh sb="13" eb="14">
      <t>シン</t>
    </rPh>
    <rPh sb="15" eb="16">
      <t>タイ</t>
    </rPh>
    <rPh sb="17" eb="18">
      <t>ボ</t>
    </rPh>
    <phoneticPr fontId="1"/>
  </si>
  <si>
    <t>クラブ付添のため</t>
    <rPh sb="3" eb="5">
      <t>ツキソイ</t>
    </rPh>
    <phoneticPr fontId="1"/>
  </si>
  <si>
    <t>学内</t>
  </si>
  <si>
    <t>xxx学会発表のため</t>
    <rPh sb="3" eb="5">
      <t>ガッカイ</t>
    </rPh>
    <rPh sb="5" eb="7">
      <t>ハッピョウ</t>
    </rPh>
    <phoneticPr fontId="1"/>
  </si>
  <si>
    <t>クラブ付添（大会）のため</t>
    <rPh sb="3" eb="5">
      <t>ツキソイ</t>
    </rPh>
    <rPh sb="6" eb="8">
      <t>タイカイ</t>
    </rPh>
    <phoneticPr fontId="1"/>
  </si>
  <si>
    <t>LN</t>
  </si>
  <si>
    <t>高専　太郎</t>
    <rPh sb="0" eb="2">
      <t>コウセン</t>
    </rPh>
    <rPh sb="3" eb="5">
      <t>タロウ</t>
    </rPh>
    <phoneticPr fontId="1"/>
  </si>
  <si>
    <t>令和　　　年　　　月　　　日　（　　　）</t>
    <phoneticPr fontId="1"/>
  </si>
  <si>
    <t>時　　　分　　～　　　時　　　分</t>
    <phoneticPr fontId="1"/>
  </si>
  <si>
    <t>（　　時　　　分　　～　　　時　　　分　）</t>
    <phoneticPr fontId="1"/>
  </si>
  <si>
    <t>□　半日
□　全日</t>
    <rPh sb="2" eb="4">
      <t>ハンニチ</t>
    </rPh>
    <rPh sb="9" eb="11">
      <t>ゼンジツ</t>
    </rPh>
    <phoneticPr fontId="1"/>
  </si>
  <si>
    <t>令和　　年　　月　　日（　　）</t>
  </si>
  <si>
    <t>令和　　年　　月　　日（　　）</t>
    <phoneticPr fontId="1"/>
  </si>
  <si>
    <t>（　全日　・　前半日　・　後半日　）</t>
    <rPh sb="9" eb="10">
      <t>ニチ</t>
    </rPh>
    <rPh sb="15" eb="16">
      <t>ニチ</t>
    </rPh>
    <phoneticPr fontId="1"/>
  </si>
  <si>
    <t>（　　　　　　　　　　　　　　　　　　）</t>
    <phoneticPr fontId="1"/>
  </si>
  <si>
    <t>（　xxx部　）</t>
    <rPh sb="5" eb="6">
      <t>ブ</t>
    </rPh>
    <phoneticPr fontId="1"/>
  </si>
  <si>
    <t>（　学内　・　学外　）</t>
    <rPh sb="2" eb="4">
      <t>ガクナイ</t>
    </rPh>
    <rPh sb="7" eb="9">
      <t>ガクガイ</t>
    </rPh>
    <phoneticPr fontId="1"/>
  </si>
  <si>
    <t>振替日</t>
    <rPh sb="0" eb="2">
      <t>フリカエ</t>
    </rPh>
    <rPh sb="2" eb="3">
      <t>ヒ</t>
    </rPh>
    <phoneticPr fontId="1"/>
  </si>
  <si>
    <t>（下記②を参照ください）</t>
    <rPh sb="1" eb="3">
      <t>カキ</t>
    </rPh>
    <rPh sb="5" eb="7">
      <t>サンショウ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</si>
</sst>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[$-411]ggge&quot;年&quot;m&quot;月&quot;d&quot;日&quot;;@"/>
    <numFmt numFmtId="177" formatCode="aaaa"/>
    <numFmt numFmtId="178" formatCode="[$-411]ggge&quot;年&quot;m&quot;月&quot;d&quot;日&quot;aaaa"/>
    <numFmt numFmtId="179" formatCode="h&quot;時&quot;mm&quot;分&quot;;@"/>
    <numFmt numFmtId="180" formatCode="\(h&quot;時&quot;mm&quot;分&quot;;@"/>
    <numFmt numFmtId="181" formatCode="h&quot;時&quot;mm&quot;分&quot;\)"/>
    <numFmt numFmtId="182" formatCode="[$-F800]dddd\,\ mmmm\ dd\,\ yyyy"/>
    <numFmt numFmtId="183" formatCode="h:mm;@"/>
    <numFmt numFmtId="184" formatCode="aaa"/>
    <numFmt numFmtId="185" formatCode="[$-411]ggge&quot;年&quot;m&quot;月&quot;d&quot;日&quot;\(aaa\)"/>
  </numFmts>
  <fonts count="19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20"/>
      <color indexed="81"/>
      <name val="MS P ゴシック"/>
      <family val="3"/>
      <charset val="128"/>
    </font>
    <font>
      <b/>
      <sz val="18"/>
      <color theme="1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/>
  </cellStyleXfs>
  <cellXfs count="17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7" xfId="0" applyFont="1" applyBorder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5" xfId="0" applyFont="1" applyBorder="1">
      <alignment vertical="center"/>
    </xf>
    <xf numFmtId="0" fontId="7" fillId="2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right" vertical="center"/>
    </xf>
    <xf numFmtId="0" fontId="4" fillId="2" borderId="7" xfId="0" applyFont="1" applyFill="1" applyBorder="1" applyAlignment="1">
      <alignment horizontal="center" vertical="center" wrapText="1"/>
    </xf>
    <xf numFmtId="0" fontId="12" fillId="0" borderId="0" xfId="1" applyAlignment="1">
      <alignment vertical="center"/>
    </xf>
    <xf numFmtId="0" fontId="12" fillId="0" borderId="0" xfId="1"/>
    <xf numFmtId="0" fontId="12" fillId="3" borderId="0" xfId="1" applyFill="1" applyAlignment="1">
      <alignment vertical="center"/>
    </xf>
    <xf numFmtId="0" fontId="12" fillId="0" borderId="0" xfId="1" applyAlignment="1">
      <alignment horizontal="right" vertical="center"/>
    </xf>
    <xf numFmtId="20" fontId="12" fillId="0" borderId="0" xfId="1" applyNumberFormat="1" applyAlignment="1">
      <alignment vertical="center"/>
    </xf>
    <xf numFmtId="20" fontId="12" fillId="0" borderId="0" xfId="1" applyNumberFormat="1"/>
    <xf numFmtId="0" fontId="14" fillId="0" borderId="0" xfId="1" applyFont="1"/>
    <xf numFmtId="0" fontId="15" fillId="0" borderId="0" xfId="0" applyFont="1">
      <alignment vertical="center"/>
    </xf>
    <xf numFmtId="56" fontId="12" fillId="0" borderId="0" xfId="1" applyNumberFormat="1"/>
    <xf numFmtId="31" fontId="12" fillId="0" borderId="0" xfId="1" applyNumberFormat="1"/>
    <xf numFmtId="0" fontId="0" fillId="0" borderId="0" xfId="0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9" fontId="4" fillId="0" borderId="5" xfId="0" applyNumberFormat="1" applyFont="1" applyBorder="1" applyAlignment="1" applyProtection="1">
      <alignment horizontal="center" vertical="center" wrapText="1"/>
      <protection locked="0"/>
    </xf>
    <xf numFmtId="180" fontId="7" fillId="2" borderId="7" xfId="0" applyNumberFormat="1" applyFont="1" applyFill="1" applyBorder="1" applyAlignment="1" applyProtection="1">
      <alignment horizontal="center" vertical="center" wrapText="1"/>
      <protection locked="0"/>
    </xf>
    <xf numFmtId="179" fontId="4" fillId="0" borderId="6" xfId="0" applyNumberFormat="1" applyFont="1" applyBorder="1" applyAlignment="1" applyProtection="1">
      <alignment horizontal="center" vertical="center" wrapText="1"/>
      <protection locked="0"/>
    </xf>
    <xf numFmtId="181" fontId="7" fillId="2" borderId="9" xfId="0" applyNumberFormat="1" applyFont="1" applyFill="1" applyBorder="1" applyAlignment="1" applyProtection="1">
      <alignment horizontal="center" vertical="center" wrapText="1"/>
      <protection locked="0"/>
    </xf>
    <xf numFmtId="14" fontId="12" fillId="0" borderId="0" xfId="1" applyNumberFormat="1" applyAlignment="1">
      <alignment vertical="center"/>
    </xf>
    <xf numFmtId="0" fontId="12" fillId="4" borderId="0" xfId="1" applyFill="1" applyAlignment="1">
      <alignment vertical="center"/>
    </xf>
    <xf numFmtId="0" fontId="12" fillId="4" borderId="0" xfId="1" applyFill="1"/>
    <xf numFmtId="0" fontId="4" fillId="2" borderId="12" xfId="0" applyFont="1" applyFill="1" applyBorder="1" applyAlignment="1">
      <alignment horizontal="center" vertical="center" wrapText="1"/>
    </xf>
    <xf numFmtId="0" fontId="4" fillId="0" borderId="27" xfId="0" applyFont="1" applyBorder="1" applyAlignment="1" applyProtection="1">
      <alignment horizontal="center" vertical="center" wrapText="1"/>
      <protection locked="0"/>
    </xf>
    <xf numFmtId="0" fontId="13" fillId="0" borderId="0" xfId="1" applyFont="1"/>
    <xf numFmtId="182" fontId="12" fillId="0" borderId="0" xfId="1" applyNumberFormat="1"/>
    <xf numFmtId="56" fontId="0" fillId="0" borderId="0" xfId="0" applyNumberForma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8" fillId="0" borderId="0" xfId="1" applyFont="1"/>
    <xf numFmtId="14" fontId="0" fillId="6" borderId="0" xfId="0" applyNumberFormat="1" applyFill="1">
      <alignment vertical="center"/>
    </xf>
    <xf numFmtId="0" fontId="0" fillId="6" borderId="0" xfId="0" applyFill="1">
      <alignment vertical="center"/>
    </xf>
    <xf numFmtId="0" fontId="18" fillId="6" borderId="0" xfId="1" applyFont="1" applyFill="1"/>
    <xf numFmtId="0" fontId="12" fillId="6" borderId="0" xfId="1" applyFill="1"/>
    <xf numFmtId="14" fontId="12" fillId="6" borderId="0" xfId="1" applyNumberFormat="1" applyFill="1" applyAlignment="1">
      <alignment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11" fillId="5" borderId="0" xfId="0" applyFont="1" applyFill="1" applyAlignment="1" applyProtection="1">
      <alignment horizontal="center" vertical="center"/>
      <protection locked="0"/>
    </xf>
    <xf numFmtId="0" fontId="11" fillId="5" borderId="19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0" xfId="0" applyFont="1" applyBorder="1" applyAlignment="1" applyProtection="1">
      <alignment horizontal="center" vertical="center"/>
      <protection locked="0"/>
    </xf>
    <xf numFmtId="0" fontId="4" fillId="0" borderId="31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76" fontId="10" fillId="5" borderId="2" xfId="0" applyNumberFormat="1" applyFont="1" applyFill="1" applyBorder="1" applyAlignment="1" applyProtection="1">
      <alignment horizontal="center" vertical="center" wrapText="1"/>
      <protection locked="0"/>
    </xf>
    <xf numFmtId="176" fontId="10" fillId="5" borderId="3" xfId="0" applyNumberFormat="1" applyFont="1" applyFill="1" applyBorder="1" applyAlignment="1" applyProtection="1">
      <alignment horizontal="center" vertical="center" wrapText="1"/>
      <protection locked="0"/>
    </xf>
    <xf numFmtId="176" fontId="10" fillId="5" borderId="5" xfId="0" applyNumberFormat="1" applyFont="1" applyFill="1" applyBorder="1" applyAlignment="1" applyProtection="1">
      <alignment horizontal="center" vertical="center" wrapText="1"/>
      <protection locked="0"/>
    </xf>
    <xf numFmtId="176" fontId="10" fillId="5" borderId="0" xfId="0" applyNumberFormat="1" applyFont="1" applyFill="1" applyAlignment="1" applyProtection="1">
      <alignment horizontal="center" vertical="center" wrapText="1"/>
      <protection locked="0"/>
    </xf>
    <xf numFmtId="184" fontId="7" fillId="0" borderId="4" xfId="0" applyNumberFormat="1" applyFont="1" applyBorder="1" applyAlignment="1">
      <alignment horizontal="center" vertical="center" wrapText="1"/>
    </xf>
    <xf numFmtId="184" fontId="7" fillId="0" borderId="6" xfId="0" applyNumberFormat="1" applyFont="1" applyBorder="1" applyAlignment="1">
      <alignment horizontal="center" vertical="center" wrapText="1"/>
    </xf>
    <xf numFmtId="183" fontId="4" fillId="0" borderId="2" xfId="0" applyNumberFormat="1" applyFont="1" applyBorder="1" applyAlignment="1">
      <alignment horizontal="center" vertical="center"/>
    </xf>
    <xf numFmtId="183" fontId="4" fillId="0" borderId="4" xfId="0" applyNumberFormat="1" applyFont="1" applyBorder="1" applyAlignment="1">
      <alignment horizontal="center" vertical="center"/>
    </xf>
    <xf numFmtId="183" fontId="4" fillId="0" borderId="5" xfId="0" applyNumberFormat="1" applyFont="1" applyBorder="1" applyAlignment="1">
      <alignment horizontal="center" vertical="center"/>
    </xf>
    <xf numFmtId="183" fontId="4" fillId="0" borderId="6" xfId="0" applyNumberFormat="1" applyFont="1" applyBorder="1" applyAlignment="1">
      <alignment horizontal="center" vertical="center"/>
    </xf>
    <xf numFmtId="183" fontId="4" fillId="0" borderId="7" xfId="0" applyNumberFormat="1" applyFont="1" applyBorder="1" applyAlignment="1">
      <alignment horizontal="center" vertical="center"/>
    </xf>
    <xf numFmtId="183" fontId="4" fillId="0" borderId="9" xfId="0" applyNumberFormat="1" applyFont="1" applyBorder="1" applyAlignment="1">
      <alignment horizontal="center" vertical="center"/>
    </xf>
    <xf numFmtId="178" fontId="4" fillId="5" borderId="2" xfId="0" applyNumberFormat="1" applyFont="1" applyFill="1" applyBorder="1" applyAlignment="1">
      <alignment horizontal="center" vertical="center"/>
    </xf>
    <xf numFmtId="178" fontId="4" fillId="5" borderId="26" xfId="0" applyNumberFormat="1" applyFont="1" applyFill="1" applyBorder="1" applyAlignment="1">
      <alignment horizontal="center" vertical="center"/>
    </xf>
    <xf numFmtId="178" fontId="4" fillId="5" borderId="5" xfId="0" applyNumberFormat="1" applyFont="1" applyFill="1" applyBorder="1" applyAlignment="1">
      <alignment horizontal="center" vertical="center"/>
    </xf>
    <xf numFmtId="178" fontId="4" fillId="5" borderId="17" xfId="0" applyNumberFormat="1" applyFont="1" applyFill="1" applyBorder="1" applyAlignment="1">
      <alignment horizontal="center" vertical="center"/>
    </xf>
    <xf numFmtId="185" fontId="10" fillId="5" borderId="24" xfId="0" applyNumberFormat="1" applyFont="1" applyFill="1" applyBorder="1" applyAlignment="1" applyProtection="1">
      <alignment horizontal="center" vertical="center" wrapText="1"/>
      <protection locked="0"/>
    </xf>
    <xf numFmtId="185" fontId="10" fillId="5" borderId="3" xfId="0" applyNumberFormat="1" applyFont="1" applyFill="1" applyBorder="1" applyAlignment="1" applyProtection="1">
      <alignment horizontal="center" vertical="center" wrapText="1"/>
      <protection locked="0"/>
    </xf>
    <xf numFmtId="185" fontId="10" fillId="5" borderId="4" xfId="0" applyNumberFormat="1" applyFont="1" applyFill="1" applyBorder="1" applyAlignment="1" applyProtection="1">
      <alignment horizontal="center" vertical="center" wrapText="1"/>
      <protection locked="0"/>
    </xf>
    <xf numFmtId="185" fontId="10" fillId="5" borderId="16" xfId="0" applyNumberFormat="1" applyFont="1" applyFill="1" applyBorder="1" applyAlignment="1" applyProtection="1">
      <alignment horizontal="center" vertical="center" wrapText="1"/>
      <protection locked="0"/>
    </xf>
    <xf numFmtId="185" fontId="10" fillId="5" borderId="0" xfId="0" applyNumberFormat="1" applyFont="1" applyFill="1" applyAlignment="1" applyProtection="1">
      <alignment horizontal="center" vertical="center" wrapText="1"/>
      <protection locked="0"/>
    </xf>
    <xf numFmtId="185" fontId="10" fillId="5" borderId="6" xfId="0" applyNumberFormat="1" applyFont="1" applyFill="1" applyBorder="1" applyAlignment="1" applyProtection="1">
      <alignment horizontal="center" vertical="center" wrapText="1"/>
      <protection locked="0"/>
    </xf>
    <xf numFmtId="185" fontId="10" fillId="5" borderId="2" xfId="0" applyNumberFormat="1" applyFont="1" applyFill="1" applyBorder="1" applyAlignment="1" applyProtection="1">
      <alignment horizontal="center" vertical="center" wrapText="1"/>
      <protection locked="0"/>
    </xf>
    <xf numFmtId="185" fontId="10" fillId="5" borderId="5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5" borderId="2" xfId="0" applyFont="1" applyFill="1" applyBorder="1" applyAlignment="1" applyProtection="1">
      <alignment horizontal="center" vertical="center" wrapText="1"/>
      <protection locked="0"/>
    </xf>
    <xf numFmtId="0" fontId="4" fillId="5" borderId="3" xfId="0" applyFont="1" applyFill="1" applyBorder="1" applyAlignment="1" applyProtection="1">
      <alignment horizontal="center" vertical="center" wrapText="1"/>
      <protection locked="0"/>
    </xf>
    <xf numFmtId="0" fontId="4" fillId="5" borderId="4" xfId="0" applyFont="1" applyFill="1" applyBorder="1" applyAlignment="1" applyProtection="1">
      <alignment horizontal="center" vertical="center" wrapText="1"/>
      <protection locked="0"/>
    </xf>
    <xf numFmtId="0" fontId="4" fillId="5" borderId="5" xfId="0" applyFont="1" applyFill="1" applyBorder="1" applyAlignment="1" applyProtection="1">
      <alignment horizontal="center" vertical="center" wrapText="1"/>
      <protection locked="0"/>
    </xf>
    <xf numFmtId="0" fontId="4" fillId="5" borderId="0" xfId="0" applyFont="1" applyFill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5" borderId="28" xfId="0" applyFont="1" applyFill="1" applyBorder="1" applyAlignment="1" applyProtection="1">
      <alignment horizontal="center" vertical="center" wrapText="1"/>
      <protection locked="0"/>
    </xf>
    <xf numFmtId="0" fontId="4" fillId="5" borderId="29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14" fontId="4" fillId="5" borderId="0" xfId="0" applyNumberFormat="1" applyFont="1" applyFill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19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>
      <alignment horizontal="center" vertical="center" wrapText="1"/>
    </xf>
    <xf numFmtId="185" fontId="10" fillId="0" borderId="24" xfId="0" applyNumberFormat="1" applyFont="1" applyBorder="1" applyAlignment="1" applyProtection="1">
      <alignment horizontal="center" vertical="center" wrapText="1"/>
      <protection locked="0"/>
    </xf>
    <xf numFmtId="185" fontId="10" fillId="0" borderId="3" xfId="0" applyNumberFormat="1" applyFont="1" applyBorder="1" applyAlignment="1" applyProtection="1">
      <alignment horizontal="center" vertical="center" wrapText="1"/>
      <protection locked="0"/>
    </xf>
    <xf numFmtId="185" fontId="10" fillId="0" borderId="4" xfId="0" applyNumberFormat="1" applyFont="1" applyBorder="1" applyAlignment="1" applyProtection="1">
      <alignment horizontal="center" vertical="center" wrapText="1"/>
      <protection locked="0"/>
    </xf>
    <xf numFmtId="185" fontId="10" fillId="0" borderId="16" xfId="0" applyNumberFormat="1" applyFont="1" applyBorder="1" applyAlignment="1" applyProtection="1">
      <alignment horizontal="center" vertical="center" wrapText="1"/>
      <protection locked="0"/>
    </xf>
    <xf numFmtId="185" fontId="10" fillId="0" borderId="0" xfId="0" applyNumberFormat="1" applyFont="1" applyAlignment="1" applyProtection="1">
      <alignment horizontal="center" vertical="center" wrapText="1"/>
      <protection locked="0"/>
    </xf>
    <xf numFmtId="185" fontId="10" fillId="0" borderId="6" xfId="0" applyNumberFormat="1" applyFont="1" applyBorder="1" applyAlignment="1" applyProtection="1">
      <alignment horizontal="center" vertical="center" wrapText="1"/>
      <protection locked="0"/>
    </xf>
    <xf numFmtId="185" fontId="10" fillId="0" borderId="2" xfId="0" applyNumberFormat="1" applyFont="1" applyBorder="1" applyAlignment="1" applyProtection="1">
      <alignment horizontal="center" vertical="center" wrapText="1"/>
      <protection locked="0"/>
    </xf>
    <xf numFmtId="185" fontId="10" fillId="0" borderId="5" xfId="0" applyNumberFormat="1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183" fontId="4" fillId="0" borderId="2" xfId="0" applyNumberFormat="1" applyFont="1" applyBorder="1" applyAlignment="1">
      <alignment horizontal="center" vertical="center" wrapText="1"/>
    </xf>
    <xf numFmtId="178" fontId="4" fillId="0" borderId="2" xfId="0" applyNumberFormat="1" applyFont="1" applyBorder="1" applyAlignment="1">
      <alignment horizontal="center" vertical="center"/>
    </xf>
    <xf numFmtId="178" fontId="4" fillId="0" borderId="26" xfId="0" applyNumberFormat="1" applyFont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/>
    </xf>
    <xf numFmtId="178" fontId="4" fillId="0" borderId="17" xfId="0" applyNumberFormat="1" applyFont="1" applyBorder="1" applyAlignment="1">
      <alignment horizontal="center" vertical="center"/>
    </xf>
    <xf numFmtId="0" fontId="4" fillId="0" borderId="28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 applyProtection="1">
      <alignment horizontal="center" vertical="center" wrapText="1"/>
      <protection locked="0"/>
    </xf>
    <xf numFmtId="176" fontId="10" fillId="0" borderId="2" xfId="0" applyNumberFormat="1" applyFont="1" applyBorder="1" applyAlignment="1" applyProtection="1">
      <alignment horizontal="center" vertical="center" wrapText="1"/>
      <protection locked="0"/>
    </xf>
    <xf numFmtId="176" fontId="10" fillId="0" borderId="3" xfId="0" applyNumberFormat="1" applyFont="1" applyBorder="1" applyAlignment="1" applyProtection="1">
      <alignment horizontal="center" vertical="center" wrapText="1"/>
      <protection locked="0"/>
    </xf>
    <xf numFmtId="176" fontId="10" fillId="0" borderId="4" xfId="0" applyNumberFormat="1" applyFont="1" applyBorder="1" applyAlignment="1" applyProtection="1">
      <alignment horizontal="center" vertical="center" wrapText="1"/>
      <protection locked="0"/>
    </xf>
    <xf numFmtId="176" fontId="10" fillId="0" borderId="5" xfId="0" applyNumberFormat="1" applyFont="1" applyBorder="1" applyAlignment="1" applyProtection="1">
      <alignment horizontal="center" vertical="center" wrapText="1"/>
      <protection locked="0"/>
    </xf>
    <xf numFmtId="176" fontId="10" fillId="0" borderId="0" xfId="0" applyNumberFormat="1" applyFont="1" applyAlignment="1" applyProtection="1">
      <alignment horizontal="center" vertical="center" wrapText="1"/>
      <protection locked="0"/>
    </xf>
    <xf numFmtId="176" fontId="10" fillId="0" borderId="6" xfId="0" applyNumberFormat="1" applyFont="1" applyBorder="1" applyAlignment="1" applyProtection="1">
      <alignment horizontal="center" vertical="center" wrapText="1"/>
      <protection locked="0"/>
    </xf>
    <xf numFmtId="179" fontId="4" fillId="0" borderId="5" xfId="0" applyNumberFormat="1" applyFont="1" applyBorder="1" applyAlignment="1" applyProtection="1">
      <alignment horizontal="center" vertical="center" wrapText="1"/>
      <protection locked="0"/>
    </xf>
    <xf numFmtId="179" fontId="4" fillId="0" borderId="0" xfId="0" applyNumberFormat="1" applyFont="1" applyAlignment="1" applyProtection="1">
      <alignment horizontal="center" vertical="center" wrapText="1"/>
      <protection locked="0"/>
    </xf>
    <xf numFmtId="179" fontId="4" fillId="0" borderId="6" xfId="0" applyNumberFormat="1" applyFont="1" applyBorder="1" applyAlignment="1" applyProtection="1">
      <alignment horizontal="center" vertical="center" wrapText="1"/>
      <protection locked="0"/>
    </xf>
    <xf numFmtId="180" fontId="7" fillId="0" borderId="7" xfId="0" applyNumberFormat="1" applyFont="1" applyBorder="1" applyAlignment="1" applyProtection="1">
      <alignment horizontal="center" vertical="center" wrapText="1"/>
      <protection locked="0"/>
    </xf>
    <xf numFmtId="180" fontId="7" fillId="0" borderId="8" xfId="0" applyNumberFormat="1" applyFont="1" applyBorder="1" applyAlignment="1" applyProtection="1">
      <alignment horizontal="center" vertical="center" wrapText="1"/>
      <protection locked="0"/>
    </xf>
    <xf numFmtId="180" fontId="7" fillId="0" borderId="9" xfId="0" applyNumberFormat="1" applyFont="1" applyBorder="1" applyAlignment="1" applyProtection="1">
      <alignment horizontal="center" vertical="center" wrapText="1"/>
      <protection locked="0"/>
    </xf>
  </cellXfs>
  <cellStyles count="2">
    <cellStyle name="標準" xfId="0" builtinId="0"/>
    <cellStyle name="標準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X50"/>
  <sheetViews>
    <sheetView tabSelected="1" view="pageBreakPreview" zoomScaleNormal="100" zoomScaleSheetLayoutView="100" workbookViewId="0"/>
  </sheetViews>
  <sheetFormatPr defaultColWidth="9" defaultRowHeight="12" outlineLevelRow="1" outlineLevelCol="1"/>
  <cols>
    <col min="1" max="1" width="12.875" style="1" customWidth="1"/>
    <col min="2" max="2" width="7.625" style="1" customWidth="1"/>
    <col min="3" max="3" width="12.5" style="1" customWidth="1"/>
    <col min="4" max="4" width="2.875" style="1" hidden="1" customWidth="1" outlineLevel="1"/>
    <col min="5" max="5" width="4.625" style="1" customWidth="1" collapsed="1"/>
    <col min="6" max="6" width="4.625" style="1" customWidth="1"/>
    <col min="7" max="14" width="11.625" style="1" customWidth="1"/>
    <col min="15" max="16" width="10.625" style="1" customWidth="1"/>
    <col min="17" max="21" width="7.625" style="1" customWidth="1"/>
    <col min="22" max="22" width="3.625" style="1" customWidth="1"/>
    <col min="23" max="24" width="9" style="26"/>
    <col min="25" max="16384" width="9" style="1"/>
  </cols>
  <sheetData>
    <row r="1" spans="1:24" ht="15" customHeight="1">
      <c r="G1" s="64" t="s">
        <v>91</v>
      </c>
      <c r="H1" s="64"/>
      <c r="I1" s="64"/>
      <c r="J1" s="64"/>
      <c r="K1" s="64"/>
      <c r="L1" s="64"/>
      <c r="M1" s="64"/>
      <c r="N1" s="64"/>
      <c r="O1" s="64"/>
    </row>
    <row r="2" spans="1:24" ht="15" customHeight="1">
      <c r="A2" s="2"/>
      <c r="B2" s="2"/>
      <c r="C2" s="2"/>
      <c r="D2" s="2"/>
      <c r="E2" s="2"/>
      <c r="F2" s="2"/>
      <c r="G2" s="64"/>
      <c r="H2" s="64"/>
      <c r="I2" s="64"/>
      <c r="J2" s="64"/>
      <c r="K2" s="64"/>
      <c r="L2" s="64"/>
      <c r="M2" s="64"/>
      <c r="N2" s="64"/>
      <c r="O2" s="64"/>
      <c r="P2" s="2"/>
      <c r="Q2" s="2"/>
      <c r="R2" s="2"/>
      <c r="S2" s="2"/>
      <c r="T2" s="2"/>
      <c r="U2" s="2"/>
      <c r="V2" s="2"/>
    </row>
    <row r="3" spans="1:24" ht="15" customHeight="1">
      <c r="A3" s="28" t="s">
        <v>62</v>
      </c>
      <c r="B3" s="25"/>
      <c r="C3" s="2"/>
      <c r="D3" s="2"/>
      <c r="E3" s="2"/>
      <c r="F3" s="2"/>
      <c r="G3" s="64"/>
      <c r="H3" s="64"/>
      <c r="I3" s="64"/>
      <c r="J3" s="64"/>
      <c r="K3" s="64"/>
      <c r="L3" s="64"/>
      <c r="M3" s="64"/>
      <c r="N3" s="64"/>
      <c r="O3" s="64"/>
      <c r="P3" s="2"/>
      <c r="Q3" s="54" t="s">
        <v>3</v>
      </c>
      <c r="R3" s="54"/>
      <c r="S3" s="54" t="s">
        <v>4</v>
      </c>
      <c r="T3" s="54"/>
      <c r="U3" s="54"/>
      <c r="V3" s="54"/>
    </row>
    <row r="4" spans="1:24" ht="15" customHeight="1" thickBot="1">
      <c r="A4" s="55"/>
      <c r="B4" s="10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55"/>
      <c r="R4" s="55"/>
      <c r="S4" s="55"/>
      <c r="T4" s="55"/>
      <c r="U4" s="55"/>
      <c r="V4" s="55"/>
    </row>
    <row r="5" spans="1:24" ht="15" customHeight="1">
      <c r="A5" s="55"/>
      <c r="B5" s="10"/>
      <c r="C5" s="56"/>
      <c r="D5" s="26"/>
      <c r="E5" s="58" t="s">
        <v>54</v>
      </c>
      <c r="F5" s="58"/>
      <c r="G5" s="2"/>
      <c r="H5" s="60" t="s">
        <v>14</v>
      </c>
      <c r="I5" s="62"/>
      <c r="J5" s="60" t="s">
        <v>15</v>
      </c>
      <c r="K5" s="65"/>
      <c r="L5" s="65"/>
      <c r="M5" s="67" t="s">
        <v>17</v>
      </c>
      <c r="N5" s="69"/>
      <c r="O5" s="70"/>
      <c r="P5" s="26"/>
      <c r="Q5" s="55"/>
      <c r="R5" s="55"/>
      <c r="S5" s="55"/>
      <c r="T5" s="55"/>
      <c r="U5" s="55"/>
      <c r="V5" s="55"/>
    </row>
    <row r="6" spans="1:24" ht="15" customHeight="1" thickBot="1">
      <c r="A6" s="55"/>
      <c r="B6" s="10"/>
      <c r="C6" s="57"/>
      <c r="D6" s="6"/>
      <c r="E6" s="59"/>
      <c r="F6" s="59"/>
      <c r="G6" s="2"/>
      <c r="H6" s="61"/>
      <c r="I6" s="63"/>
      <c r="J6" s="61"/>
      <c r="K6" s="66"/>
      <c r="L6" s="66"/>
      <c r="M6" s="68"/>
      <c r="N6" s="71"/>
      <c r="O6" s="72"/>
      <c r="P6" s="26"/>
      <c r="Q6" s="55"/>
      <c r="R6" s="55"/>
      <c r="S6" s="55"/>
      <c r="T6" s="55"/>
      <c r="U6" s="55"/>
      <c r="V6" s="55"/>
    </row>
    <row r="7" spans="1:24" ht="15" customHeight="1">
      <c r="M7" s="27"/>
    </row>
    <row r="8" spans="1:24" ht="15" customHeight="1">
      <c r="A8" s="110" t="s">
        <v>0</v>
      </c>
      <c r="B8" s="110"/>
      <c r="C8" s="110"/>
      <c r="D8" s="112" t="s">
        <v>5</v>
      </c>
      <c r="E8" s="114" t="s">
        <v>55</v>
      </c>
      <c r="F8" s="115"/>
      <c r="G8" s="120" t="s">
        <v>51</v>
      </c>
      <c r="H8" s="121"/>
      <c r="I8" s="122" t="s">
        <v>108</v>
      </c>
      <c r="J8" s="123"/>
      <c r="K8" s="123"/>
      <c r="L8" s="123"/>
      <c r="M8" s="123"/>
      <c r="N8" s="123"/>
      <c r="O8" s="114" t="s">
        <v>16</v>
      </c>
      <c r="P8" s="134"/>
      <c r="Q8" s="134"/>
      <c r="R8" s="134"/>
      <c r="S8" s="134"/>
      <c r="T8" s="134"/>
      <c r="U8" s="134"/>
      <c r="V8" s="115"/>
    </row>
    <row r="9" spans="1:24" ht="15" customHeight="1">
      <c r="A9" s="111"/>
      <c r="B9" s="111"/>
      <c r="C9" s="111"/>
      <c r="D9" s="113"/>
      <c r="E9" s="116"/>
      <c r="F9" s="117"/>
      <c r="G9" s="73" t="s">
        <v>109</v>
      </c>
      <c r="H9" s="74"/>
      <c r="I9" s="124"/>
      <c r="J9" s="125"/>
      <c r="K9" s="125"/>
      <c r="L9" s="125"/>
      <c r="M9" s="125"/>
      <c r="N9" s="125"/>
      <c r="O9" s="116"/>
      <c r="P9" s="135"/>
      <c r="Q9" s="135"/>
      <c r="R9" s="135"/>
      <c r="S9" s="135"/>
      <c r="T9" s="135"/>
      <c r="U9" s="135"/>
      <c r="V9" s="117"/>
    </row>
    <row r="10" spans="1:24" ht="15" customHeight="1">
      <c r="A10" s="77" t="s">
        <v>1</v>
      </c>
      <c r="B10" s="77"/>
      <c r="C10" s="77"/>
      <c r="D10" s="13"/>
      <c r="E10" s="118"/>
      <c r="F10" s="119"/>
      <c r="G10" s="75"/>
      <c r="H10" s="76"/>
      <c r="I10" s="78" t="s">
        <v>63</v>
      </c>
      <c r="J10" s="79"/>
      <c r="K10" s="79"/>
      <c r="L10" s="79"/>
      <c r="M10" s="79"/>
      <c r="N10" s="79"/>
      <c r="O10" s="75" t="s">
        <v>61</v>
      </c>
      <c r="P10" s="76"/>
      <c r="Q10" s="76"/>
      <c r="R10" s="76"/>
      <c r="S10" s="76"/>
      <c r="T10" s="76"/>
      <c r="U10" s="76"/>
      <c r="V10" s="136"/>
    </row>
    <row r="11" spans="1:24" ht="21.95" customHeight="1">
      <c r="A11" s="80"/>
      <c r="B11" s="81"/>
      <c r="C11" s="84" t="str">
        <f>IF(A11&lt;&gt;"",IF(COUNTIF(プルダウン用シート!A:A,'休日振替簿（入力用）'!A11)&gt;0,"祝日",A11),"")</f>
        <v/>
      </c>
      <c r="D11" s="9" t="str">
        <f>IF(A11="","",(WEEKDAY(A11,2)))</f>
        <v/>
      </c>
      <c r="E11" s="86">
        <f>C13-A13-(C14-A14)</f>
        <v>0</v>
      </c>
      <c r="F11" s="87"/>
      <c r="G11" s="92" t="str">
        <f>IF(A11&lt;&gt;"",EDATE(A11,4)-1,"")</f>
        <v/>
      </c>
      <c r="H11" s="93"/>
      <c r="I11" s="96"/>
      <c r="J11" s="97"/>
      <c r="K11" s="98"/>
      <c r="L11" s="102"/>
      <c r="M11" s="97"/>
      <c r="N11" s="98"/>
      <c r="O11" s="126"/>
      <c r="P11" s="127"/>
      <c r="Q11" s="127"/>
      <c r="R11" s="127"/>
      <c r="S11" s="127"/>
      <c r="T11" s="127"/>
      <c r="U11" s="127"/>
      <c r="V11" s="128"/>
      <c r="W11" s="31">
        <f>IFERROR(WEEKNUM($A11,16),"")</f>
        <v>1</v>
      </c>
      <c r="X11" s="31">
        <f>IFERROR(WEEKNUM($A11,16),"")</f>
        <v>1</v>
      </c>
    </row>
    <row r="12" spans="1:24" ht="21.95" customHeight="1">
      <c r="A12" s="82"/>
      <c r="B12" s="83"/>
      <c r="C12" s="85"/>
      <c r="D12" s="7"/>
      <c r="E12" s="88"/>
      <c r="F12" s="89"/>
      <c r="G12" s="94"/>
      <c r="H12" s="95"/>
      <c r="I12" s="99"/>
      <c r="J12" s="100"/>
      <c r="K12" s="101"/>
      <c r="L12" s="103"/>
      <c r="M12" s="100"/>
      <c r="N12" s="101"/>
      <c r="O12" s="129"/>
      <c r="P12" s="130"/>
      <c r="Q12" s="130"/>
      <c r="R12" s="130"/>
      <c r="S12" s="130"/>
      <c r="T12" s="130"/>
      <c r="U12" s="130"/>
      <c r="V12" s="131"/>
      <c r="W12" s="31">
        <f>IFERROR(WEEKNUM(I11,16),"")</f>
        <v>1</v>
      </c>
      <c r="X12" s="31">
        <f>IFERROR(WEEKNUM(L11,16),"")</f>
        <v>1</v>
      </c>
    </row>
    <row r="13" spans="1:24" ht="21.95" customHeight="1">
      <c r="A13" s="33"/>
      <c r="B13" s="8" t="s">
        <v>13</v>
      </c>
      <c r="C13" s="35"/>
      <c r="D13" s="8"/>
      <c r="E13" s="88"/>
      <c r="F13" s="89"/>
      <c r="G13" s="94"/>
      <c r="H13" s="95"/>
      <c r="I13" s="104" t="s">
        <v>64</v>
      </c>
      <c r="J13" s="105"/>
      <c r="K13" s="106"/>
      <c r="L13" s="105" t="s">
        <v>86</v>
      </c>
      <c r="M13" s="105"/>
      <c r="N13" s="105"/>
      <c r="O13" s="129"/>
      <c r="P13" s="130"/>
      <c r="Q13" s="130"/>
      <c r="R13" s="130"/>
      <c r="S13" s="130"/>
      <c r="T13" s="130"/>
      <c r="U13" s="130"/>
      <c r="V13" s="131"/>
    </row>
    <row r="14" spans="1:24" ht="21.95" customHeight="1">
      <c r="A14" s="34"/>
      <c r="B14" s="11" t="s">
        <v>13</v>
      </c>
      <c r="C14" s="36"/>
      <c r="D14" s="30"/>
      <c r="E14" s="90"/>
      <c r="F14" s="91"/>
      <c r="G14" s="3"/>
      <c r="H14" s="12" t="s">
        <v>2</v>
      </c>
      <c r="I14" s="107"/>
      <c r="J14" s="108"/>
      <c r="K14" s="109"/>
      <c r="L14" s="108"/>
      <c r="M14" s="108"/>
      <c r="N14" s="108"/>
      <c r="O14" s="41" t="s">
        <v>60</v>
      </c>
      <c r="P14" s="132"/>
      <c r="Q14" s="133"/>
      <c r="R14" s="41" t="s">
        <v>59</v>
      </c>
      <c r="S14" s="132" t="s">
        <v>105</v>
      </c>
      <c r="T14" s="132"/>
      <c r="U14" s="132"/>
      <c r="V14" s="133"/>
    </row>
    <row r="15" spans="1:24" ht="21.95" customHeight="1">
      <c r="A15" s="80"/>
      <c r="B15" s="81"/>
      <c r="C15" s="84" t="str">
        <f>IF(A15&lt;&gt;"",IF(COUNTIF(プルダウン用シート!A:A,'休日振替簿（入力用）'!A15)&gt;0,"祝日",A15),"")</f>
        <v/>
      </c>
      <c r="D15" s="9" t="str">
        <f>IF(A15="","",(WEEKDAY(A15,2)))</f>
        <v/>
      </c>
      <c r="E15" s="86">
        <f>C17-A17-(C18-A18)</f>
        <v>0</v>
      </c>
      <c r="F15" s="87"/>
      <c r="G15" s="92" t="str">
        <f>IF(A15&lt;&gt;"",EDATE(A15,4)-1,"")</f>
        <v/>
      </c>
      <c r="H15" s="93"/>
      <c r="I15" s="96"/>
      <c r="J15" s="97"/>
      <c r="K15" s="98"/>
      <c r="L15" s="102"/>
      <c r="M15" s="97"/>
      <c r="N15" s="98"/>
      <c r="O15" s="126"/>
      <c r="P15" s="127"/>
      <c r="Q15" s="127"/>
      <c r="R15" s="127"/>
      <c r="S15" s="127"/>
      <c r="T15" s="127"/>
      <c r="U15" s="127"/>
      <c r="V15" s="128"/>
      <c r="W15" s="31">
        <f>IFERROR(WEEKNUM($A15,16),"")</f>
        <v>1</v>
      </c>
      <c r="X15" s="31">
        <f>IFERROR(WEEKNUM($A15,16),"")</f>
        <v>1</v>
      </c>
    </row>
    <row r="16" spans="1:24" ht="21.95" customHeight="1">
      <c r="A16" s="82"/>
      <c r="B16" s="83"/>
      <c r="C16" s="85"/>
      <c r="D16" s="7"/>
      <c r="E16" s="88"/>
      <c r="F16" s="89"/>
      <c r="G16" s="94"/>
      <c r="H16" s="95"/>
      <c r="I16" s="99"/>
      <c r="J16" s="100"/>
      <c r="K16" s="101"/>
      <c r="L16" s="103"/>
      <c r="M16" s="100"/>
      <c r="N16" s="101"/>
      <c r="O16" s="129"/>
      <c r="P16" s="130"/>
      <c r="Q16" s="130"/>
      <c r="R16" s="130"/>
      <c r="S16" s="130"/>
      <c r="T16" s="130"/>
      <c r="U16" s="130"/>
      <c r="V16" s="131"/>
      <c r="W16" s="31">
        <f>IFERROR(WEEKNUM(I15,16),"")</f>
        <v>1</v>
      </c>
      <c r="X16" s="31">
        <f>IFERROR(WEEKNUM(L15,16),"")</f>
        <v>1</v>
      </c>
    </row>
    <row r="17" spans="1:24" ht="21.95" customHeight="1">
      <c r="A17" s="33"/>
      <c r="B17" s="8" t="s">
        <v>13</v>
      </c>
      <c r="C17" s="35"/>
      <c r="D17" s="8"/>
      <c r="E17" s="88"/>
      <c r="F17" s="89"/>
      <c r="G17" s="94"/>
      <c r="H17" s="95"/>
      <c r="I17" s="104" t="s">
        <v>87</v>
      </c>
      <c r="J17" s="105"/>
      <c r="K17" s="106"/>
      <c r="L17" s="105"/>
      <c r="M17" s="105"/>
      <c r="N17" s="105"/>
      <c r="O17" s="129"/>
      <c r="P17" s="130"/>
      <c r="Q17" s="130"/>
      <c r="R17" s="130"/>
      <c r="S17" s="130"/>
      <c r="T17" s="130"/>
      <c r="U17" s="130"/>
      <c r="V17" s="131"/>
    </row>
    <row r="18" spans="1:24" ht="21.95" customHeight="1">
      <c r="A18" s="34"/>
      <c r="B18" s="11" t="s">
        <v>13</v>
      </c>
      <c r="C18" s="36"/>
      <c r="D18" s="30"/>
      <c r="E18" s="90"/>
      <c r="F18" s="91"/>
      <c r="G18" s="3"/>
      <c r="H18" s="12" t="s">
        <v>2</v>
      </c>
      <c r="I18" s="107"/>
      <c r="J18" s="108"/>
      <c r="K18" s="109"/>
      <c r="L18" s="108"/>
      <c r="M18" s="108"/>
      <c r="N18" s="108"/>
      <c r="O18" s="41" t="s">
        <v>60</v>
      </c>
      <c r="P18" s="132"/>
      <c r="Q18" s="133"/>
      <c r="R18" s="41" t="s">
        <v>59</v>
      </c>
      <c r="S18" s="132" t="s">
        <v>105</v>
      </c>
      <c r="T18" s="132"/>
      <c r="U18" s="132"/>
      <c r="V18" s="133"/>
    </row>
    <row r="19" spans="1:24" ht="21.95" customHeight="1">
      <c r="A19" s="80"/>
      <c r="B19" s="81"/>
      <c r="C19" s="84" t="str">
        <f>IF(A19&lt;&gt;"",IF(COUNTIF(プルダウン用シート!A:A,'休日振替簿（入力用）'!A19)&gt;0,"祝日",A19),"")</f>
        <v/>
      </c>
      <c r="D19" s="9" t="str">
        <f>IF(A19="","",(WEEKDAY(A19,2)))</f>
        <v/>
      </c>
      <c r="E19" s="86">
        <f>C21-A21-(C22-A22)</f>
        <v>0</v>
      </c>
      <c r="F19" s="87"/>
      <c r="G19" s="92" t="str">
        <f>IF(A19&lt;&gt;"",EDATE(A19,4)-1,"")</f>
        <v/>
      </c>
      <c r="H19" s="93"/>
      <c r="I19" s="96"/>
      <c r="J19" s="97"/>
      <c r="K19" s="98"/>
      <c r="L19" s="102"/>
      <c r="M19" s="97"/>
      <c r="N19" s="98"/>
      <c r="O19" s="126"/>
      <c r="P19" s="127"/>
      <c r="Q19" s="127"/>
      <c r="R19" s="127"/>
      <c r="S19" s="127"/>
      <c r="T19" s="127"/>
      <c r="U19" s="127"/>
      <c r="V19" s="128"/>
      <c r="W19" s="26">
        <f>IFERROR(WEEKNUM($A19,16),"")</f>
        <v>1</v>
      </c>
      <c r="X19" s="26">
        <f>IFERROR(WEEKNUM($A19,16),"")</f>
        <v>1</v>
      </c>
    </row>
    <row r="20" spans="1:24" ht="21.95" customHeight="1">
      <c r="A20" s="82"/>
      <c r="B20" s="83"/>
      <c r="C20" s="85"/>
      <c r="D20" s="7"/>
      <c r="E20" s="88"/>
      <c r="F20" s="89"/>
      <c r="G20" s="94"/>
      <c r="H20" s="95"/>
      <c r="I20" s="99"/>
      <c r="J20" s="100"/>
      <c r="K20" s="101"/>
      <c r="L20" s="103"/>
      <c r="M20" s="100"/>
      <c r="N20" s="101"/>
      <c r="O20" s="129"/>
      <c r="P20" s="130"/>
      <c r="Q20" s="130"/>
      <c r="R20" s="130"/>
      <c r="S20" s="130"/>
      <c r="T20" s="130"/>
      <c r="U20" s="130"/>
      <c r="V20" s="131"/>
      <c r="W20" s="26">
        <f>IFERROR(WEEKNUM(I19,16),"")</f>
        <v>1</v>
      </c>
      <c r="X20" s="26">
        <f>IFERROR(WEEKNUM(L19,16),"")</f>
        <v>1</v>
      </c>
    </row>
    <row r="21" spans="1:24" ht="21.95" customHeight="1">
      <c r="A21" s="33"/>
      <c r="B21" s="8" t="s">
        <v>13</v>
      </c>
      <c r="C21" s="35"/>
      <c r="D21" s="8"/>
      <c r="E21" s="88"/>
      <c r="F21" s="89"/>
      <c r="G21" s="94"/>
      <c r="H21" s="95"/>
      <c r="I21" s="104"/>
      <c r="J21" s="105"/>
      <c r="K21" s="106"/>
      <c r="L21" s="105"/>
      <c r="M21" s="105"/>
      <c r="N21" s="105"/>
      <c r="O21" s="129"/>
      <c r="P21" s="130"/>
      <c r="Q21" s="130"/>
      <c r="R21" s="130"/>
      <c r="S21" s="130"/>
      <c r="T21" s="130"/>
      <c r="U21" s="130"/>
      <c r="V21" s="131"/>
    </row>
    <row r="22" spans="1:24" ht="21.95" customHeight="1">
      <c r="A22" s="34"/>
      <c r="B22" s="11" t="s">
        <v>13</v>
      </c>
      <c r="C22" s="36"/>
      <c r="D22" s="30"/>
      <c r="E22" s="90"/>
      <c r="F22" s="91"/>
      <c r="G22" s="3"/>
      <c r="H22" s="12" t="s">
        <v>2</v>
      </c>
      <c r="I22" s="107"/>
      <c r="J22" s="108"/>
      <c r="K22" s="109"/>
      <c r="L22" s="108"/>
      <c r="M22" s="108"/>
      <c r="N22" s="108"/>
      <c r="O22" s="41" t="s">
        <v>60</v>
      </c>
      <c r="P22" s="132"/>
      <c r="Q22" s="133"/>
      <c r="R22" s="41" t="s">
        <v>59</v>
      </c>
      <c r="S22" s="132" t="s">
        <v>105</v>
      </c>
      <c r="T22" s="132"/>
      <c r="U22" s="132"/>
      <c r="V22" s="133"/>
    </row>
    <row r="23" spans="1:24" ht="21.95" customHeight="1">
      <c r="A23" s="80"/>
      <c r="B23" s="81"/>
      <c r="C23" s="84" t="str">
        <f>IF(A23&lt;&gt;"",IF(COUNTIF(プルダウン用シート!A:A,'休日振替簿（入力用）'!A23)&gt;0,"祝日",A23),"")</f>
        <v/>
      </c>
      <c r="D23" s="9" t="str">
        <f>IF(A23="","",(WEEKDAY(A23,2)))</f>
        <v/>
      </c>
      <c r="E23" s="86">
        <f>C25-A25-(C26-A26)</f>
        <v>0</v>
      </c>
      <c r="F23" s="87"/>
      <c r="G23" s="92" t="str">
        <f>IF(A23&lt;&gt;"",EDATE(A23,4)-1,"")</f>
        <v/>
      </c>
      <c r="H23" s="93"/>
      <c r="I23" s="96"/>
      <c r="J23" s="97"/>
      <c r="K23" s="98"/>
      <c r="L23" s="102"/>
      <c r="M23" s="97"/>
      <c r="N23" s="98"/>
      <c r="O23" s="126"/>
      <c r="P23" s="127"/>
      <c r="Q23" s="127"/>
      <c r="R23" s="127"/>
      <c r="S23" s="127"/>
      <c r="T23" s="127"/>
      <c r="U23" s="127"/>
      <c r="V23" s="128"/>
      <c r="W23" s="26">
        <f>IFERROR(WEEKNUM($A23,16),"")</f>
        <v>1</v>
      </c>
      <c r="X23" s="26">
        <f>IFERROR(WEEKNUM($A23,16),"")</f>
        <v>1</v>
      </c>
    </row>
    <row r="24" spans="1:24" ht="21.95" customHeight="1">
      <c r="A24" s="82"/>
      <c r="B24" s="83"/>
      <c r="C24" s="85"/>
      <c r="D24" s="7"/>
      <c r="E24" s="88"/>
      <c r="F24" s="89"/>
      <c r="G24" s="94"/>
      <c r="H24" s="95"/>
      <c r="I24" s="99"/>
      <c r="J24" s="100"/>
      <c r="K24" s="101"/>
      <c r="L24" s="103"/>
      <c r="M24" s="100"/>
      <c r="N24" s="101"/>
      <c r="O24" s="129"/>
      <c r="P24" s="130"/>
      <c r="Q24" s="130"/>
      <c r="R24" s="130"/>
      <c r="S24" s="130"/>
      <c r="T24" s="130"/>
      <c r="U24" s="130"/>
      <c r="V24" s="131"/>
      <c r="W24" s="26">
        <f>IFERROR(WEEKNUM(I23,16),"")</f>
        <v>1</v>
      </c>
      <c r="X24" s="26">
        <f>IFERROR(WEEKNUM(L23,16),"")</f>
        <v>1</v>
      </c>
    </row>
    <row r="25" spans="1:24" ht="21.95" customHeight="1">
      <c r="A25" s="33"/>
      <c r="B25" s="8" t="s">
        <v>13</v>
      </c>
      <c r="C25" s="35"/>
      <c r="D25" s="8"/>
      <c r="E25" s="88"/>
      <c r="F25" s="89"/>
      <c r="G25" s="94"/>
      <c r="H25" s="95"/>
      <c r="I25" s="104"/>
      <c r="J25" s="105"/>
      <c r="K25" s="106"/>
      <c r="L25" s="105"/>
      <c r="M25" s="105"/>
      <c r="N25" s="105"/>
      <c r="O25" s="129"/>
      <c r="P25" s="130"/>
      <c r="Q25" s="130"/>
      <c r="R25" s="130"/>
      <c r="S25" s="130"/>
      <c r="T25" s="130"/>
      <c r="U25" s="130"/>
      <c r="V25" s="131"/>
    </row>
    <row r="26" spans="1:24" ht="21.95" customHeight="1">
      <c r="A26" s="34"/>
      <c r="B26" s="11" t="s">
        <v>13</v>
      </c>
      <c r="C26" s="36"/>
      <c r="D26" s="30"/>
      <c r="E26" s="90"/>
      <c r="F26" s="91"/>
      <c r="G26" s="3"/>
      <c r="H26" s="12" t="s">
        <v>2</v>
      </c>
      <c r="I26" s="107"/>
      <c r="J26" s="108"/>
      <c r="K26" s="109"/>
      <c r="L26" s="108"/>
      <c r="M26" s="108"/>
      <c r="N26" s="108"/>
      <c r="O26" s="41" t="s">
        <v>60</v>
      </c>
      <c r="P26" s="132"/>
      <c r="Q26" s="133"/>
      <c r="R26" s="41" t="s">
        <v>59</v>
      </c>
      <c r="S26" s="132" t="s">
        <v>105</v>
      </c>
      <c r="T26" s="132"/>
      <c r="U26" s="132"/>
      <c r="V26" s="133"/>
    </row>
    <row r="27" spans="1:24" ht="21.95" customHeight="1">
      <c r="A27" s="80"/>
      <c r="B27" s="81"/>
      <c r="C27" s="84" t="str">
        <f>IF(A27&lt;&gt;"",IF(COUNTIF(プルダウン用シート!A:A,'休日振替簿（入力用）'!A27)&gt;0,"祝日",A27),"")</f>
        <v/>
      </c>
      <c r="D27" s="9" t="str">
        <f>IF(A27="","",(WEEKDAY(A27,2)))</f>
        <v/>
      </c>
      <c r="E27" s="86">
        <f>C29-A29-(C30-A30)</f>
        <v>0</v>
      </c>
      <c r="F27" s="87"/>
      <c r="G27" s="92" t="str">
        <f>IF(A27&lt;&gt;"",EDATE(A27,4)-1,"")</f>
        <v/>
      </c>
      <c r="H27" s="93"/>
      <c r="I27" s="96"/>
      <c r="J27" s="97"/>
      <c r="K27" s="98"/>
      <c r="L27" s="102"/>
      <c r="M27" s="97"/>
      <c r="N27" s="98"/>
      <c r="O27" s="126"/>
      <c r="P27" s="127"/>
      <c r="Q27" s="127"/>
      <c r="R27" s="127"/>
      <c r="S27" s="127"/>
      <c r="T27" s="127"/>
      <c r="U27" s="127"/>
      <c r="V27" s="128"/>
      <c r="W27" s="26">
        <f>IFERROR(WEEKNUM($A27,16),"")</f>
        <v>1</v>
      </c>
      <c r="X27" s="26">
        <f>IFERROR(WEEKNUM($A27,16),"")</f>
        <v>1</v>
      </c>
    </row>
    <row r="28" spans="1:24" ht="21.95" customHeight="1">
      <c r="A28" s="82"/>
      <c r="B28" s="83"/>
      <c r="C28" s="85"/>
      <c r="D28" s="7"/>
      <c r="E28" s="88"/>
      <c r="F28" s="89"/>
      <c r="G28" s="94"/>
      <c r="H28" s="95"/>
      <c r="I28" s="99"/>
      <c r="J28" s="100"/>
      <c r="K28" s="101"/>
      <c r="L28" s="103"/>
      <c r="M28" s="100"/>
      <c r="N28" s="101"/>
      <c r="O28" s="129"/>
      <c r="P28" s="130"/>
      <c r="Q28" s="130"/>
      <c r="R28" s="130"/>
      <c r="S28" s="130"/>
      <c r="T28" s="130"/>
      <c r="U28" s="130"/>
      <c r="V28" s="131"/>
      <c r="W28" s="26">
        <f>IFERROR(WEEKNUM(I27,16),"")</f>
        <v>1</v>
      </c>
      <c r="X28" s="26">
        <f>IFERROR(WEEKNUM(L27,16),"")</f>
        <v>1</v>
      </c>
    </row>
    <row r="29" spans="1:24" ht="21.95" customHeight="1">
      <c r="A29" s="33"/>
      <c r="B29" s="8" t="s">
        <v>13</v>
      </c>
      <c r="C29" s="35"/>
      <c r="D29" s="8"/>
      <c r="E29" s="88"/>
      <c r="F29" s="89"/>
      <c r="G29" s="94"/>
      <c r="H29" s="95"/>
      <c r="I29" s="104"/>
      <c r="J29" s="105"/>
      <c r="K29" s="106"/>
      <c r="L29" s="105"/>
      <c r="M29" s="105"/>
      <c r="N29" s="105"/>
      <c r="O29" s="129"/>
      <c r="P29" s="130"/>
      <c r="Q29" s="130"/>
      <c r="R29" s="130"/>
      <c r="S29" s="130"/>
      <c r="T29" s="130"/>
      <c r="U29" s="130"/>
      <c r="V29" s="131"/>
    </row>
    <row r="30" spans="1:24" ht="21.95" customHeight="1">
      <c r="A30" s="34"/>
      <c r="B30" s="11" t="s">
        <v>13</v>
      </c>
      <c r="C30" s="36"/>
      <c r="D30" s="40"/>
      <c r="E30" s="90"/>
      <c r="F30" s="91"/>
      <c r="G30" s="3"/>
      <c r="H30" s="12" t="s">
        <v>2</v>
      </c>
      <c r="I30" s="107"/>
      <c r="J30" s="108"/>
      <c r="K30" s="109"/>
      <c r="L30" s="108"/>
      <c r="M30" s="108"/>
      <c r="N30" s="108"/>
      <c r="O30" s="41" t="s">
        <v>60</v>
      </c>
      <c r="P30" s="132"/>
      <c r="Q30" s="133"/>
      <c r="R30" s="41" t="s">
        <v>59</v>
      </c>
      <c r="S30" s="132" t="s">
        <v>105</v>
      </c>
      <c r="T30" s="132"/>
      <c r="U30" s="132"/>
      <c r="V30" s="133"/>
    </row>
    <row r="31" spans="1:24" ht="18" customHeight="1">
      <c r="A31" s="29"/>
      <c r="B31" s="29"/>
      <c r="C31" s="29"/>
      <c r="D31" s="29"/>
      <c r="E31" s="26"/>
      <c r="F31" s="26"/>
      <c r="G31" s="2"/>
      <c r="H31" s="4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spans="1:24" ht="18" customHeight="1">
      <c r="A32" s="2" t="s">
        <v>53</v>
      </c>
      <c r="B32" s="5" t="s">
        <v>90</v>
      </c>
    </row>
    <row r="33" spans="1:21" ht="18" customHeight="1">
      <c r="B33" s="5" t="s">
        <v>89</v>
      </c>
    </row>
    <row r="34" spans="1:21" ht="18" customHeight="1">
      <c r="B34" s="5" t="s">
        <v>57</v>
      </c>
      <c r="C34" s="26"/>
      <c r="D34" s="26"/>
      <c r="E34" s="26"/>
      <c r="F34" s="26"/>
      <c r="G34" s="26"/>
      <c r="H34" s="26"/>
      <c r="I34" s="26"/>
    </row>
    <row r="35" spans="1:21" ht="18" customHeight="1">
      <c r="B35" s="5" t="s">
        <v>58</v>
      </c>
    </row>
    <row r="36" spans="1:21" ht="18" customHeight="1">
      <c r="B36" s="2" t="s">
        <v>88</v>
      </c>
    </row>
    <row r="37" spans="1:21" ht="18" customHeight="1">
      <c r="B37" s="5"/>
    </row>
    <row r="38" spans="1:21" ht="1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21" ht="1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21" ht="18" customHeight="1">
      <c r="J40" s="2"/>
      <c r="Q40" s="1" t="s">
        <v>52</v>
      </c>
      <c r="R40" s="137">
        <v>45839</v>
      </c>
      <c r="S40" s="137"/>
      <c r="T40" s="137"/>
      <c r="U40" s="137"/>
    </row>
    <row r="42" spans="1:21" hidden="1" outlineLevel="1">
      <c r="A42" s="1" t="s">
        <v>5</v>
      </c>
    </row>
    <row r="43" spans="1:21" hidden="1" outlineLevel="1">
      <c r="A43" s="1">
        <v>1</v>
      </c>
      <c r="B43" s="1" t="s">
        <v>7</v>
      </c>
      <c r="C43" s="1" t="s">
        <v>18</v>
      </c>
    </row>
    <row r="44" spans="1:21" hidden="1" outlineLevel="1">
      <c r="A44" s="1">
        <v>2</v>
      </c>
      <c r="B44" s="1" t="s">
        <v>8</v>
      </c>
      <c r="C44" s="1" t="s">
        <v>18</v>
      </c>
    </row>
    <row r="45" spans="1:21" hidden="1" outlineLevel="1">
      <c r="A45" s="1">
        <v>3</v>
      </c>
      <c r="B45" s="1" t="s">
        <v>9</v>
      </c>
      <c r="C45" s="1" t="s">
        <v>18</v>
      </c>
    </row>
    <row r="46" spans="1:21" hidden="1" outlineLevel="1">
      <c r="A46" s="1">
        <v>4</v>
      </c>
      <c r="B46" s="1" t="s">
        <v>10</v>
      </c>
      <c r="C46" s="1" t="s">
        <v>18</v>
      </c>
    </row>
    <row r="47" spans="1:21" hidden="1" outlineLevel="1">
      <c r="A47" s="1">
        <v>5</v>
      </c>
      <c r="B47" s="1" t="s">
        <v>11</v>
      </c>
      <c r="C47" s="1" t="s">
        <v>18</v>
      </c>
    </row>
    <row r="48" spans="1:21" hidden="1" outlineLevel="1">
      <c r="A48" s="32">
        <v>6</v>
      </c>
      <c r="B48" s="32" t="s">
        <v>6</v>
      </c>
      <c r="C48" s="32">
        <f>7*16-1</f>
        <v>111</v>
      </c>
    </row>
    <row r="49" spans="1:3" hidden="1" outlineLevel="1">
      <c r="A49" s="32">
        <v>7</v>
      </c>
      <c r="B49" s="32" t="s">
        <v>12</v>
      </c>
      <c r="C49" s="32">
        <f>7*16-1</f>
        <v>111</v>
      </c>
    </row>
    <row r="50" spans="1:3" collapsed="1"/>
  </sheetData>
  <mergeCells count="80">
    <mergeCell ref="P30:Q30"/>
    <mergeCell ref="S30:V30"/>
    <mergeCell ref="O8:V9"/>
    <mergeCell ref="O10:V10"/>
    <mergeCell ref="R40:U40"/>
    <mergeCell ref="O23:V25"/>
    <mergeCell ref="O27:V29"/>
    <mergeCell ref="O11:V13"/>
    <mergeCell ref="S14:V14"/>
    <mergeCell ref="P14:Q14"/>
    <mergeCell ref="P18:Q18"/>
    <mergeCell ref="S18:V18"/>
    <mergeCell ref="P22:Q22"/>
    <mergeCell ref="S22:V22"/>
    <mergeCell ref="P26:Q26"/>
    <mergeCell ref="S26:V26"/>
    <mergeCell ref="L29:N30"/>
    <mergeCell ref="L27:N28"/>
    <mergeCell ref="L23:N24"/>
    <mergeCell ref="I25:K26"/>
    <mergeCell ref="L25:N26"/>
    <mergeCell ref="L21:N22"/>
    <mergeCell ref="L19:N20"/>
    <mergeCell ref="O19:V21"/>
    <mergeCell ref="L15:N16"/>
    <mergeCell ref="I17:K18"/>
    <mergeCell ref="L17:N18"/>
    <mergeCell ref="O15:V17"/>
    <mergeCell ref="A27:B28"/>
    <mergeCell ref="C27:C28"/>
    <mergeCell ref="E27:F30"/>
    <mergeCell ref="G27:H29"/>
    <mergeCell ref="I27:K28"/>
    <mergeCell ref="I29:K30"/>
    <mergeCell ref="A23:B24"/>
    <mergeCell ref="C23:C24"/>
    <mergeCell ref="E23:F26"/>
    <mergeCell ref="G23:H25"/>
    <mergeCell ref="I23:K24"/>
    <mergeCell ref="A19:B20"/>
    <mergeCell ref="C19:C20"/>
    <mergeCell ref="E19:F22"/>
    <mergeCell ref="G19:H21"/>
    <mergeCell ref="I19:K20"/>
    <mergeCell ref="I21:K22"/>
    <mergeCell ref="A15:B16"/>
    <mergeCell ref="C15:C16"/>
    <mergeCell ref="E15:F18"/>
    <mergeCell ref="G15:H17"/>
    <mergeCell ref="I15:K16"/>
    <mergeCell ref="G9:H10"/>
    <mergeCell ref="A10:C10"/>
    <mergeCell ref="I10:N10"/>
    <mergeCell ref="A11:B12"/>
    <mergeCell ref="C11:C12"/>
    <mergeCell ref="E11:F14"/>
    <mergeCell ref="G11:H13"/>
    <mergeCell ref="I11:K12"/>
    <mergeCell ref="L11:N12"/>
    <mergeCell ref="I13:K14"/>
    <mergeCell ref="L13:N14"/>
    <mergeCell ref="A8:C9"/>
    <mergeCell ref="D8:D9"/>
    <mergeCell ref="E8:F10"/>
    <mergeCell ref="G8:H8"/>
    <mergeCell ref="I8:N9"/>
    <mergeCell ref="S3:V3"/>
    <mergeCell ref="S4:V6"/>
    <mergeCell ref="Q3:R3"/>
    <mergeCell ref="A4:A6"/>
    <mergeCell ref="C5:C6"/>
    <mergeCell ref="E5:F6"/>
    <mergeCell ref="H5:H6"/>
    <mergeCell ref="I5:I6"/>
    <mergeCell ref="Q4:R6"/>
    <mergeCell ref="G1:O3"/>
    <mergeCell ref="K5:L6"/>
    <mergeCell ref="M5:M6"/>
    <mergeCell ref="N5:O6"/>
    <mergeCell ref="J5:J6"/>
  </mergeCells>
  <phoneticPr fontId="1"/>
  <dataValidations count="6">
    <dataValidation imeMode="halfAlpha" allowBlank="1" showInputMessage="1" showErrorMessage="1" error="入力は不要です" prompt="日付を入れると自動で表示します" sqref="C11:D12 C19:D20 C15:D16 C27:D28 C23:D24" xr:uid="{00000000-0002-0000-0000-000001000000}"/>
    <dataValidation imeMode="halfAlpha" allowBlank="1" showInputMessage="1" showErrorMessage="1" sqref="A11:B12 I19 L27 L19 I11 A23:B24 I23 I15 L15 A19:B20 L23 L11 A15:B16 I27 A27:B28" xr:uid="{00000000-0002-0000-0000-000002000000}"/>
    <dataValidation allowBlank="1" showInputMessage="1" showErrorMessage="1" prompt="自動で表示しますので入力しないでください" sqref="G23 G15 G19 G11 G27" xr:uid="{00000000-0002-0000-0000-000003000000}"/>
    <dataValidation type="list" allowBlank="1" showInputMessage="1" showErrorMessage="1" sqref="I5:I6" xr:uid="{00000000-0002-0000-0000-000005000000}">
      <formula1>"LN,M,D,E,I,保"</formula1>
    </dataValidation>
    <dataValidation type="list" allowBlank="1" showInputMessage="1" showErrorMessage="1" sqref="P14 P26 P18 P22 P30" xr:uid="{82121AB0-A3BB-414B-85BF-09D1CC4F9FC6}">
      <formula1>"学内,学外"</formula1>
    </dataValidation>
    <dataValidation type="list" allowBlank="1" showInputMessage="1" showErrorMessage="1" error="リストより選択してください" sqref="I13:N14 I17:N18 I21:N22 I25:N26 I29:N30" xr:uid="{E4953161-DA39-4EDA-9C84-D8FDBDDE712E}">
      <formula1>"全日,前半日,後半日"</formula1>
    </dataValidation>
  </dataValidations>
  <printOptions horizontalCentered="1"/>
  <pageMargins left="0.23622047244094491" right="0.23622047244094491" top="0.6692913385826772" bottom="0.35433070866141736" header="0.43307086614173229" footer="0.31496062992125984"/>
  <pageSetup paperSize="9" scale="72" orientation="landscape" r:id="rId1"/>
  <headerFooter>
    <oddHeader>&amp;R【土・日・祝・年末年始用】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84CB-B2B3-4EAE-8089-C86D2C80B72F}">
  <sheetPr>
    <pageSetUpPr fitToPage="1"/>
  </sheetPr>
  <dimension ref="A1:X50"/>
  <sheetViews>
    <sheetView view="pageBreakPreview" zoomScale="70" zoomScaleNormal="100" zoomScaleSheetLayoutView="70" workbookViewId="0"/>
  </sheetViews>
  <sheetFormatPr defaultColWidth="9" defaultRowHeight="12" outlineLevelRow="1" outlineLevelCol="1"/>
  <cols>
    <col min="1" max="1" width="12.875" style="1" customWidth="1"/>
    <col min="2" max="2" width="7.625" style="1" customWidth="1"/>
    <col min="3" max="3" width="12.5" style="1" customWidth="1"/>
    <col min="4" max="4" width="2.875" style="1" hidden="1" customWidth="1" outlineLevel="1"/>
    <col min="5" max="5" width="4.625" style="1" customWidth="1" collapsed="1"/>
    <col min="6" max="6" width="4.625" style="1" customWidth="1"/>
    <col min="7" max="14" width="11.625" style="1" customWidth="1"/>
    <col min="15" max="16" width="10.625" style="1" customWidth="1"/>
    <col min="17" max="21" width="7.625" style="1" customWidth="1"/>
    <col min="22" max="22" width="3.625" style="1" customWidth="1"/>
    <col min="23" max="24" width="9" style="26"/>
    <col min="25" max="16384" width="9" style="1"/>
  </cols>
  <sheetData>
    <row r="1" spans="1:24" ht="15" customHeight="1">
      <c r="G1" s="64" t="s">
        <v>91</v>
      </c>
      <c r="H1" s="64"/>
      <c r="I1" s="64"/>
      <c r="J1" s="64"/>
      <c r="K1" s="64"/>
      <c r="L1" s="64"/>
      <c r="M1" s="64"/>
      <c r="N1" s="64"/>
      <c r="O1" s="64"/>
    </row>
    <row r="2" spans="1:24" ht="15" customHeight="1">
      <c r="A2" s="2"/>
      <c r="B2" s="2"/>
      <c r="C2" s="2"/>
      <c r="D2" s="2"/>
      <c r="E2" s="2"/>
      <c r="F2" s="2"/>
      <c r="G2" s="64"/>
      <c r="H2" s="64"/>
      <c r="I2" s="64"/>
      <c r="J2" s="64"/>
      <c r="K2" s="64"/>
      <c r="L2" s="64"/>
      <c r="M2" s="64"/>
      <c r="N2" s="64"/>
      <c r="O2" s="64"/>
      <c r="P2" s="2"/>
      <c r="Q2" s="2"/>
      <c r="R2" s="2"/>
      <c r="S2" s="2"/>
      <c r="T2" s="2"/>
      <c r="U2" s="2"/>
      <c r="V2" s="2"/>
    </row>
    <row r="3" spans="1:24" ht="15" customHeight="1">
      <c r="A3" s="28" t="s">
        <v>62</v>
      </c>
      <c r="B3" s="25"/>
      <c r="C3" s="2"/>
      <c r="D3" s="2"/>
      <c r="E3" s="2"/>
      <c r="F3" s="2"/>
      <c r="G3" s="64"/>
      <c r="H3" s="64"/>
      <c r="I3" s="64"/>
      <c r="J3" s="64"/>
      <c r="K3" s="64"/>
      <c r="L3" s="64"/>
      <c r="M3" s="64"/>
      <c r="N3" s="64"/>
      <c r="O3" s="64"/>
      <c r="P3" s="2"/>
      <c r="Q3" s="54" t="s">
        <v>3</v>
      </c>
      <c r="R3" s="54"/>
      <c r="S3" s="54" t="s">
        <v>4</v>
      </c>
      <c r="T3" s="54"/>
      <c r="U3" s="54"/>
      <c r="V3" s="54"/>
    </row>
    <row r="4" spans="1:24" ht="15" customHeight="1" thickBot="1">
      <c r="A4" s="55"/>
      <c r="B4" s="10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55"/>
      <c r="R4" s="55"/>
      <c r="S4" s="55"/>
      <c r="T4" s="55"/>
      <c r="U4" s="55"/>
      <c r="V4" s="55"/>
    </row>
    <row r="5" spans="1:24" ht="15" customHeight="1">
      <c r="A5" s="55"/>
      <c r="B5" s="10"/>
      <c r="C5" s="56">
        <v>7</v>
      </c>
      <c r="D5" s="26"/>
      <c r="E5" s="58" t="s">
        <v>54</v>
      </c>
      <c r="F5" s="58"/>
      <c r="G5" s="2"/>
      <c r="H5" s="60" t="s">
        <v>14</v>
      </c>
      <c r="I5" s="62" t="s">
        <v>96</v>
      </c>
      <c r="J5" s="60" t="s">
        <v>15</v>
      </c>
      <c r="K5" s="65">
        <v>12345678</v>
      </c>
      <c r="L5" s="65"/>
      <c r="M5" s="67" t="s">
        <v>17</v>
      </c>
      <c r="N5" s="69" t="s">
        <v>97</v>
      </c>
      <c r="O5" s="70"/>
      <c r="P5" s="26"/>
      <c r="Q5" s="55"/>
      <c r="R5" s="55"/>
      <c r="S5" s="55"/>
      <c r="T5" s="55"/>
      <c r="U5" s="55"/>
      <c r="V5" s="55"/>
    </row>
    <row r="6" spans="1:24" ht="15" customHeight="1" thickBot="1">
      <c r="A6" s="55"/>
      <c r="B6" s="10"/>
      <c r="C6" s="57"/>
      <c r="D6" s="6"/>
      <c r="E6" s="59"/>
      <c r="F6" s="59"/>
      <c r="G6" s="2"/>
      <c r="H6" s="61"/>
      <c r="I6" s="63"/>
      <c r="J6" s="61"/>
      <c r="K6" s="66"/>
      <c r="L6" s="66"/>
      <c r="M6" s="68"/>
      <c r="N6" s="71"/>
      <c r="O6" s="72"/>
      <c r="P6" s="26"/>
      <c r="Q6" s="55"/>
      <c r="R6" s="55"/>
      <c r="S6" s="55"/>
      <c r="T6" s="55"/>
      <c r="U6" s="55"/>
      <c r="V6" s="55"/>
    </row>
    <row r="7" spans="1:24" ht="15" customHeight="1">
      <c r="M7" s="27"/>
    </row>
    <row r="8" spans="1:24" ht="15" customHeight="1">
      <c r="A8" s="110" t="s">
        <v>0</v>
      </c>
      <c r="B8" s="110"/>
      <c r="C8" s="110"/>
      <c r="D8" s="112" t="s">
        <v>5</v>
      </c>
      <c r="E8" s="114" t="s">
        <v>55</v>
      </c>
      <c r="F8" s="115"/>
      <c r="G8" s="120" t="s">
        <v>51</v>
      </c>
      <c r="H8" s="121"/>
      <c r="I8" s="122" t="s">
        <v>108</v>
      </c>
      <c r="J8" s="123"/>
      <c r="K8" s="123"/>
      <c r="L8" s="123"/>
      <c r="M8" s="123"/>
      <c r="N8" s="123"/>
      <c r="O8" s="114" t="s">
        <v>16</v>
      </c>
      <c r="P8" s="134"/>
      <c r="Q8" s="134"/>
      <c r="R8" s="134"/>
      <c r="S8" s="134"/>
      <c r="T8" s="134"/>
      <c r="U8" s="134"/>
      <c r="V8" s="115"/>
    </row>
    <row r="9" spans="1:24" ht="15" customHeight="1">
      <c r="A9" s="111"/>
      <c r="B9" s="111"/>
      <c r="C9" s="111"/>
      <c r="D9" s="113"/>
      <c r="E9" s="116"/>
      <c r="F9" s="117"/>
      <c r="G9" s="73" t="s">
        <v>109</v>
      </c>
      <c r="H9" s="74"/>
      <c r="I9" s="124"/>
      <c r="J9" s="125"/>
      <c r="K9" s="125"/>
      <c r="L9" s="125"/>
      <c r="M9" s="125"/>
      <c r="N9" s="125"/>
      <c r="O9" s="116"/>
      <c r="P9" s="135"/>
      <c r="Q9" s="135"/>
      <c r="R9" s="135"/>
      <c r="S9" s="135"/>
      <c r="T9" s="135"/>
      <c r="U9" s="135"/>
      <c r="V9" s="117"/>
    </row>
    <row r="10" spans="1:24" ht="15" customHeight="1">
      <c r="A10" s="77" t="s">
        <v>1</v>
      </c>
      <c r="B10" s="77"/>
      <c r="C10" s="77"/>
      <c r="D10" s="13"/>
      <c r="E10" s="118"/>
      <c r="F10" s="119"/>
      <c r="G10" s="75"/>
      <c r="H10" s="76"/>
      <c r="I10" s="78" t="s">
        <v>63</v>
      </c>
      <c r="J10" s="79"/>
      <c r="K10" s="79"/>
      <c r="L10" s="79"/>
      <c r="M10" s="79"/>
      <c r="N10" s="79"/>
      <c r="O10" s="75" t="s">
        <v>61</v>
      </c>
      <c r="P10" s="76"/>
      <c r="Q10" s="76"/>
      <c r="R10" s="76"/>
      <c r="S10" s="76"/>
      <c r="T10" s="76"/>
      <c r="U10" s="76"/>
      <c r="V10" s="136"/>
    </row>
    <row r="11" spans="1:24" ht="21.95" customHeight="1">
      <c r="A11" s="80">
        <v>45858</v>
      </c>
      <c r="B11" s="81"/>
      <c r="C11" s="84">
        <f>IF(A11&lt;&gt;"",IF(COUNTIF(プルダウン用シート!A:A,'休日振替簿（見本）'!A11)&gt;0,"祝日",A11),"")</f>
        <v>45858</v>
      </c>
      <c r="D11" s="9">
        <f>IF(A11="","",(WEEKDAY(A11,2)))</f>
        <v>7</v>
      </c>
      <c r="E11" s="86">
        <f>C13-A13-(C14-A14)</f>
        <v>0.32291666666666669</v>
      </c>
      <c r="F11" s="87"/>
      <c r="G11" s="92">
        <f>IF(A11&lt;&gt;"",EDATE(A11,4)-1,"")</f>
        <v>45980</v>
      </c>
      <c r="H11" s="93"/>
      <c r="I11" s="96">
        <v>45862</v>
      </c>
      <c r="J11" s="97"/>
      <c r="K11" s="98"/>
      <c r="L11" s="102"/>
      <c r="M11" s="97"/>
      <c r="N11" s="98"/>
      <c r="O11" s="126" t="s">
        <v>92</v>
      </c>
      <c r="P11" s="127"/>
      <c r="Q11" s="127"/>
      <c r="R11" s="127"/>
      <c r="S11" s="127"/>
      <c r="T11" s="127"/>
      <c r="U11" s="127"/>
      <c r="V11" s="128"/>
      <c r="W11" s="31">
        <f>IFERROR(WEEKNUM($A11,16),"")</f>
        <v>30</v>
      </c>
      <c r="X11" s="31">
        <f>IFERROR(WEEKNUM($A11,16),"")</f>
        <v>30</v>
      </c>
    </row>
    <row r="12" spans="1:24" ht="21.95" customHeight="1">
      <c r="A12" s="82"/>
      <c r="B12" s="83"/>
      <c r="C12" s="85"/>
      <c r="D12" s="7"/>
      <c r="E12" s="88"/>
      <c r="F12" s="89"/>
      <c r="G12" s="94"/>
      <c r="H12" s="95"/>
      <c r="I12" s="99"/>
      <c r="J12" s="100"/>
      <c r="K12" s="101"/>
      <c r="L12" s="103"/>
      <c r="M12" s="100"/>
      <c r="N12" s="101"/>
      <c r="O12" s="129"/>
      <c r="P12" s="130"/>
      <c r="Q12" s="130"/>
      <c r="R12" s="130"/>
      <c r="S12" s="130"/>
      <c r="T12" s="130"/>
      <c r="U12" s="130"/>
      <c r="V12" s="131"/>
      <c r="W12" s="31">
        <f>IFERROR(WEEKNUM(I11,16),"")</f>
        <v>30</v>
      </c>
      <c r="X12" s="31">
        <f>IFERROR(WEEKNUM(L11,16),"")</f>
        <v>1</v>
      </c>
    </row>
    <row r="13" spans="1:24" ht="21.95" customHeight="1">
      <c r="A13" s="33">
        <v>0.36458333333333331</v>
      </c>
      <c r="B13" s="8" t="s">
        <v>13</v>
      </c>
      <c r="C13" s="35">
        <v>0.71875</v>
      </c>
      <c r="D13" s="8"/>
      <c r="E13" s="88"/>
      <c r="F13" s="89"/>
      <c r="G13" s="94"/>
      <c r="H13" s="95"/>
      <c r="I13" s="104" t="s">
        <v>87</v>
      </c>
      <c r="J13" s="105"/>
      <c r="K13" s="106"/>
      <c r="L13" s="105"/>
      <c r="M13" s="105"/>
      <c r="N13" s="105"/>
      <c r="O13" s="129"/>
      <c r="P13" s="130"/>
      <c r="Q13" s="130"/>
      <c r="R13" s="130"/>
      <c r="S13" s="130"/>
      <c r="T13" s="130"/>
      <c r="U13" s="130"/>
      <c r="V13" s="131"/>
    </row>
    <row r="14" spans="1:24" ht="21.95" customHeight="1">
      <c r="A14" s="34">
        <v>0.5</v>
      </c>
      <c r="B14" s="11" t="s">
        <v>13</v>
      </c>
      <c r="C14" s="36">
        <v>0.53125</v>
      </c>
      <c r="D14" s="30"/>
      <c r="E14" s="90"/>
      <c r="F14" s="91"/>
      <c r="G14" s="3"/>
      <c r="H14" s="12" t="s">
        <v>2</v>
      </c>
      <c r="I14" s="107"/>
      <c r="J14" s="108"/>
      <c r="K14" s="109"/>
      <c r="L14" s="108"/>
      <c r="M14" s="108"/>
      <c r="N14" s="108"/>
      <c r="O14" s="41" t="s">
        <v>60</v>
      </c>
      <c r="P14" s="132" t="s">
        <v>93</v>
      </c>
      <c r="Q14" s="133"/>
      <c r="R14" s="41" t="s">
        <v>59</v>
      </c>
      <c r="S14" s="132" t="s">
        <v>106</v>
      </c>
      <c r="T14" s="132"/>
      <c r="U14" s="132"/>
      <c r="V14" s="133"/>
    </row>
    <row r="15" spans="1:24" ht="21.95" customHeight="1">
      <c r="A15" s="80">
        <v>45859</v>
      </c>
      <c r="B15" s="81"/>
      <c r="C15" s="84" t="str">
        <f>IF(A15&lt;&gt;"",IF(COUNTIF(プルダウン用シート!A:A,'休日振替簿（見本）'!A15)&gt;0,"祝日",A15),"")</f>
        <v>祝日</v>
      </c>
      <c r="D15" s="9">
        <f>IF(A15="","",(WEEKDAY(A15,2)))</f>
        <v>1</v>
      </c>
      <c r="E15" s="86">
        <f>C17-A17-(C18-A18)</f>
        <v>0.16666666666666674</v>
      </c>
      <c r="F15" s="87"/>
      <c r="G15" s="92">
        <f>IF(A15&lt;&gt;"",EDATE(A15,4)-1,"")</f>
        <v>45981</v>
      </c>
      <c r="H15" s="93"/>
      <c r="I15" s="96">
        <v>45876</v>
      </c>
      <c r="J15" s="97"/>
      <c r="K15" s="98"/>
      <c r="L15" s="102"/>
      <c r="M15" s="97"/>
      <c r="N15" s="98"/>
      <c r="O15" s="126" t="s">
        <v>94</v>
      </c>
      <c r="P15" s="127"/>
      <c r="Q15" s="127"/>
      <c r="R15" s="127"/>
      <c r="S15" s="127"/>
      <c r="T15" s="127"/>
      <c r="U15" s="127"/>
      <c r="V15" s="128"/>
      <c r="W15" s="31">
        <f>IFERROR(WEEKNUM($A15,16),"")</f>
        <v>30</v>
      </c>
      <c r="X15" s="31">
        <f>IFERROR(WEEKNUM($A15,16),"")</f>
        <v>30</v>
      </c>
    </row>
    <row r="16" spans="1:24" ht="21.95" customHeight="1">
      <c r="A16" s="82"/>
      <c r="B16" s="83"/>
      <c r="C16" s="85"/>
      <c r="D16" s="7"/>
      <c r="E16" s="88"/>
      <c r="F16" s="89"/>
      <c r="G16" s="94"/>
      <c r="H16" s="95"/>
      <c r="I16" s="99"/>
      <c r="J16" s="100"/>
      <c r="K16" s="101"/>
      <c r="L16" s="103"/>
      <c r="M16" s="100"/>
      <c r="N16" s="101"/>
      <c r="O16" s="129"/>
      <c r="P16" s="130"/>
      <c r="Q16" s="130"/>
      <c r="R16" s="130"/>
      <c r="S16" s="130"/>
      <c r="T16" s="130"/>
      <c r="U16" s="130"/>
      <c r="V16" s="131"/>
      <c r="W16" s="31">
        <f>IFERROR(WEEKNUM(I15,16),"")</f>
        <v>32</v>
      </c>
      <c r="X16" s="31">
        <f>IFERROR(WEEKNUM(L15,16),"")</f>
        <v>1</v>
      </c>
    </row>
    <row r="17" spans="1:24" ht="21.95" customHeight="1">
      <c r="A17" s="33">
        <v>0.54166666666666663</v>
      </c>
      <c r="B17" s="8" t="s">
        <v>13</v>
      </c>
      <c r="C17" s="35">
        <v>0.70833333333333337</v>
      </c>
      <c r="D17" s="8"/>
      <c r="E17" s="88"/>
      <c r="F17" s="89"/>
      <c r="G17" s="94"/>
      <c r="H17" s="95"/>
      <c r="I17" s="104" t="s">
        <v>64</v>
      </c>
      <c r="J17" s="105"/>
      <c r="K17" s="106"/>
      <c r="L17" s="105"/>
      <c r="M17" s="105"/>
      <c r="N17" s="105"/>
      <c r="O17" s="129"/>
      <c r="P17" s="130"/>
      <c r="Q17" s="130"/>
      <c r="R17" s="130"/>
      <c r="S17" s="130"/>
      <c r="T17" s="130"/>
      <c r="U17" s="130"/>
      <c r="V17" s="131"/>
    </row>
    <row r="18" spans="1:24" ht="21.95" customHeight="1">
      <c r="A18" s="34"/>
      <c r="B18" s="11" t="s">
        <v>13</v>
      </c>
      <c r="C18" s="36"/>
      <c r="D18" s="30"/>
      <c r="E18" s="90"/>
      <c r="F18" s="91"/>
      <c r="G18" s="3"/>
      <c r="H18" s="12" t="s">
        <v>2</v>
      </c>
      <c r="I18" s="107"/>
      <c r="J18" s="108"/>
      <c r="K18" s="109"/>
      <c r="L18" s="108"/>
      <c r="M18" s="108"/>
      <c r="N18" s="108"/>
      <c r="O18" s="41" t="s">
        <v>60</v>
      </c>
      <c r="P18" s="132" t="s">
        <v>93</v>
      </c>
      <c r="Q18" s="133"/>
      <c r="R18" s="41" t="s">
        <v>59</v>
      </c>
      <c r="S18" s="132" t="s">
        <v>105</v>
      </c>
      <c r="T18" s="132"/>
      <c r="U18" s="132"/>
      <c r="V18" s="133"/>
    </row>
    <row r="19" spans="1:24" ht="21.95" customHeight="1">
      <c r="A19" s="80">
        <v>45865</v>
      </c>
      <c r="B19" s="81"/>
      <c r="C19" s="84">
        <f>IF(A19&lt;&gt;"",IF(COUNTIF(プルダウン用シート!A:A,'休日振替簿（見本）'!A19)&gt;0,"祝日",A19),"")</f>
        <v>45865</v>
      </c>
      <c r="D19" s="9">
        <f>IF(A19="","",(WEEKDAY(A19,2)))</f>
        <v>7</v>
      </c>
      <c r="E19" s="86">
        <f>C21-A21-(C22-A22)</f>
        <v>0.16666666666666669</v>
      </c>
      <c r="F19" s="87"/>
      <c r="G19" s="92">
        <f>IF(A19&lt;&gt;"",EDATE(A19,4)-1,"")</f>
        <v>45987</v>
      </c>
      <c r="H19" s="93"/>
      <c r="I19" s="96">
        <v>45882</v>
      </c>
      <c r="J19" s="97"/>
      <c r="K19" s="98"/>
      <c r="L19" s="102"/>
      <c r="M19" s="97"/>
      <c r="N19" s="98"/>
      <c r="O19" s="126" t="s">
        <v>95</v>
      </c>
      <c r="P19" s="127"/>
      <c r="Q19" s="127"/>
      <c r="R19" s="127"/>
      <c r="S19" s="127"/>
      <c r="T19" s="127"/>
      <c r="U19" s="127"/>
      <c r="V19" s="128"/>
      <c r="W19" s="26">
        <f>IFERROR(WEEKNUM($A19,16),"")</f>
        <v>31</v>
      </c>
      <c r="X19" s="26">
        <f>IFERROR(WEEKNUM($A19,16),"")</f>
        <v>31</v>
      </c>
    </row>
    <row r="20" spans="1:24" ht="21.95" customHeight="1">
      <c r="A20" s="82"/>
      <c r="B20" s="83"/>
      <c r="C20" s="85"/>
      <c r="D20" s="7"/>
      <c r="E20" s="88"/>
      <c r="F20" s="89"/>
      <c r="G20" s="94"/>
      <c r="H20" s="95"/>
      <c r="I20" s="99"/>
      <c r="J20" s="100"/>
      <c r="K20" s="101"/>
      <c r="L20" s="103"/>
      <c r="M20" s="100"/>
      <c r="N20" s="101"/>
      <c r="O20" s="129"/>
      <c r="P20" s="130"/>
      <c r="Q20" s="130"/>
      <c r="R20" s="130"/>
      <c r="S20" s="130"/>
      <c r="T20" s="130"/>
      <c r="U20" s="130"/>
      <c r="V20" s="131"/>
      <c r="W20" s="26">
        <f>IFERROR(WEEKNUM(I19,16),"")</f>
        <v>33</v>
      </c>
      <c r="X20" s="26">
        <f>IFERROR(WEEKNUM(L19,16),"")</f>
        <v>1</v>
      </c>
    </row>
    <row r="21" spans="1:24" ht="21.95" customHeight="1">
      <c r="A21" s="33">
        <v>0.36458333333333331</v>
      </c>
      <c r="B21" s="8" t="s">
        <v>13</v>
      </c>
      <c r="C21" s="35">
        <v>0.5625</v>
      </c>
      <c r="D21" s="8"/>
      <c r="E21" s="88"/>
      <c r="F21" s="89"/>
      <c r="G21" s="94"/>
      <c r="H21" s="95"/>
      <c r="I21" s="104" t="s">
        <v>86</v>
      </c>
      <c r="J21" s="105"/>
      <c r="K21" s="106"/>
      <c r="L21" s="105"/>
      <c r="M21" s="105"/>
      <c r="N21" s="105"/>
      <c r="O21" s="129"/>
      <c r="P21" s="130"/>
      <c r="Q21" s="130"/>
      <c r="R21" s="130"/>
      <c r="S21" s="130"/>
      <c r="T21" s="130"/>
      <c r="U21" s="130"/>
      <c r="V21" s="131"/>
    </row>
    <row r="22" spans="1:24" ht="21.95" customHeight="1">
      <c r="A22" s="34">
        <v>0.5</v>
      </c>
      <c r="B22" s="11" t="s">
        <v>13</v>
      </c>
      <c r="C22" s="36">
        <v>0.53125</v>
      </c>
      <c r="D22" s="30"/>
      <c r="E22" s="90"/>
      <c r="F22" s="91"/>
      <c r="G22" s="3"/>
      <c r="H22" s="12" t="s">
        <v>2</v>
      </c>
      <c r="I22" s="107"/>
      <c r="J22" s="108"/>
      <c r="K22" s="109"/>
      <c r="L22" s="108"/>
      <c r="M22" s="108"/>
      <c r="N22" s="108"/>
      <c r="O22" s="41" t="s">
        <v>60</v>
      </c>
      <c r="P22" s="132" t="s">
        <v>93</v>
      </c>
      <c r="Q22" s="133"/>
      <c r="R22" s="41" t="s">
        <v>59</v>
      </c>
      <c r="S22" s="132" t="s">
        <v>106</v>
      </c>
      <c r="T22" s="132"/>
      <c r="U22" s="132"/>
      <c r="V22" s="133"/>
    </row>
    <row r="23" spans="1:24" ht="21.95" customHeight="1">
      <c r="A23" s="80"/>
      <c r="B23" s="81"/>
      <c r="C23" s="84" t="str">
        <f>IF(A23&lt;&gt;"",IF(COUNTIF(プルダウン用シート!A:A,'休日振替簿（見本）'!A23)&gt;0,"祝日",A23),"")</f>
        <v/>
      </c>
      <c r="D23" s="9" t="str">
        <f>IF(A23="","",(WEEKDAY(A23,2)))</f>
        <v/>
      </c>
      <c r="E23" s="86">
        <f>C25-A25-(C26-A26)</f>
        <v>0</v>
      </c>
      <c r="F23" s="87"/>
      <c r="G23" s="92" t="str">
        <f>IF(A23&lt;&gt;"",EDATE(A23,4)-1,"")</f>
        <v/>
      </c>
      <c r="H23" s="93"/>
      <c r="I23" s="96"/>
      <c r="J23" s="97"/>
      <c r="K23" s="98"/>
      <c r="L23" s="102"/>
      <c r="M23" s="97"/>
      <c r="N23" s="98"/>
      <c r="O23" s="126"/>
      <c r="P23" s="127"/>
      <c r="Q23" s="127"/>
      <c r="R23" s="127"/>
      <c r="S23" s="127"/>
      <c r="T23" s="127"/>
      <c r="U23" s="127"/>
      <c r="V23" s="128"/>
      <c r="W23" s="26">
        <f>IFERROR(WEEKNUM($A23,16),"")</f>
        <v>1</v>
      </c>
      <c r="X23" s="26">
        <f>IFERROR(WEEKNUM($A23,16),"")</f>
        <v>1</v>
      </c>
    </row>
    <row r="24" spans="1:24" ht="21.95" customHeight="1">
      <c r="A24" s="82"/>
      <c r="B24" s="83"/>
      <c r="C24" s="85"/>
      <c r="D24" s="7"/>
      <c r="E24" s="88"/>
      <c r="F24" s="89"/>
      <c r="G24" s="94"/>
      <c r="H24" s="95"/>
      <c r="I24" s="99"/>
      <c r="J24" s="100"/>
      <c r="K24" s="101"/>
      <c r="L24" s="103"/>
      <c r="M24" s="100"/>
      <c r="N24" s="101"/>
      <c r="O24" s="129"/>
      <c r="P24" s="130"/>
      <c r="Q24" s="130"/>
      <c r="R24" s="130"/>
      <c r="S24" s="130"/>
      <c r="T24" s="130"/>
      <c r="U24" s="130"/>
      <c r="V24" s="131"/>
      <c r="W24" s="26">
        <f>IFERROR(WEEKNUM(I23,16),"")</f>
        <v>1</v>
      </c>
      <c r="X24" s="26">
        <f>IFERROR(WEEKNUM(L23,16),"")</f>
        <v>1</v>
      </c>
    </row>
    <row r="25" spans="1:24" ht="21.95" customHeight="1">
      <c r="A25" s="33"/>
      <c r="B25" s="8" t="s">
        <v>13</v>
      </c>
      <c r="C25" s="35"/>
      <c r="D25" s="8"/>
      <c r="E25" s="88"/>
      <c r="F25" s="89"/>
      <c r="G25" s="94"/>
      <c r="H25" s="95"/>
      <c r="I25" s="104"/>
      <c r="J25" s="105"/>
      <c r="K25" s="106"/>
      <c r="L25" s="105"/>
      <c r="M25" s="105"/>
      <c r="N25" s="105"/>
      <c r="O25" s="129"/>
      <c r="P25" s="130"/>
      <c r="Q25" s="130"/>
      <c r="R25" s="130"/>
      <c r="S25" s="130"/>
      <c r="T25" s="130"/>
      <c r="U25" s="130"/>
      <c r="V25" s="131"/>
    </row>
    <row r="26" spans="1:24" ht="21.95" customHeight="1">
      <c r="A26" s="34"/>
      <c r="B26" s="11" t="s">
        <v>13</v>
      </c>
      <c r="C26" s="36"/>
      <c r="D26" s="30"/>
      <c r="E26" s="90"/>
      <c r="F26" s="91"/>
      <c r="G26" s="3"/>
      <c r="H26" s="12" t="s">
        <v>2</v>
      </c>
      <c r="I26" s="107"/>
      <c r="J26" s="108"/>
      <c r="K26" s="109"/>
      <c r="L26" s="108"/>
      <c r="M26" s="108"/>
      <c r="N26" s="108"/>
      <c r="O26" s="41" t="s">
        <v>60</v>
      </c>
      <c r="P26" s="132"/>
      <c r="Q26" s="133"/>
      <c r="R26" s="41" t="s">
        <v>59</v>
      </c>
      <c r="S26" s="132" t="s">
        <v>105</v>
      </c>
      <c r="T26" s="132"/>
      <c r="U26" s="132"/>
      <c r="V26" s="133"/>
    </row>
    <row r="27" spans="1:24" ht="21.95" customHeight="1">
      <c r="A27" s="80"/>
      <c r="B27" s="81"/>
      <c r="C27" s="84" t="str">
        <f>IF(A27&lt;&gt;"",IF(COUNTIF(プルダウン用シート!A:A,'休日振替簿（見本）'!A27)&gt;0,"祝日",A27),"")</f>
        <v/>
      </c>
      <c r="D27" s="9" t="str">
        <f>IF(A27="","",(WEEKDAY(A27,2)))</f>
        <v/>
      </c>
      <c r="E27" s="86">
        <f>C29-A29-(C30-A30)</f>
        <v>0</v>
      </c>
      <c r="F27" s="87"/>
      <c r="G27" s="92" t="str">
        <f>IF(A27&lt;&gt;"",EDATE(A27,4)-1,"")</f>
        <v/>
      </c>
      <c r="H27" s="93"/>
      <c r="I27" s="96"/>
      <c r="J27" s="97"/>
      <c r="K27" s="98"/>
      <c r="L27" s="102"/>
      <c r="M27" s="97"/>
      <c r="N27" s="98"/>
      <c r="O27" s="126"/>
      <c r="P27" s="127"/>
      <c r="Q27" s="127"/>
      <c r="R27" s="127"/>
      <c r="S27" s="127"/>
      <c r="T27" s="127"/>
      <c r="U27" s="127"/>
      <c r="V27" s="128"/>
      <c r="W27" s="26">
        <f>IFERROR(WEEKNUM($A27,16),"")</f>
        <v>1</v>
      </c>
      <c r="X27" s="26">
        <f>IFERROR(WEEKNUM($A27,16),"")</f>
        <v>1</v>
      </c>
    </row>
    <row r="28" spans="1:24" ht="21.95" customHeight="1">
      <c r="A28" s="82"/>
      <c r="B28" s="83"/>
      <c r="C28" s="85"/>
      <c r="D28" s="7"/>
      <c r="E28" s="88"/>
      <c r="F28" s="89"/>
      <c r="G28" s="94"/>
      <c r="H28" s="95"/>
      <c r="I28" s="99"/>
      <c r="J28" s="100"/>
      <c r="K28" s="101"/>
      <c r="L28" s="103"/>
      <c r="M28" s="100"/>
      <c r="N28" s="101"/>
      <c r="O28" s="129"/>
      <c r="P28" s="130"/>
      <c r="Q28" s="130"/>
      <c r="R28" s="130"/>
      <c r="S28" s="130"/>
      <c r="T28" s="130"/>
      <c r="U28" s="130"/>
      <c r="V28" s="131"/>
      <c r="W28" s="26">
        <f>IFERROR(WEEKNUM(I27,16),"")</f>
        <v>1</v>
      </c>
      <c r="X28" s="26">
        <f>IFERROR(WEEKNUM(L27,16),"")</f>
        <v>1</v>
      </c>
    </row>
    <row r="29" spans="1:24" ht="21.95" customHeight="1">
      <c r="A29" s="33"/>
      <c r="B29" s="8" t="s">
        <v>13</v>
      </c>
      <c r="C29" s="35"/>
      <c r="D29" s="8"/>
      <c r="E29" s="88"/>
      <c r="F29" s="89"/>
      <c r="G29" s="94"/>
      <c r="H29" s="95"/>
      <c r="I29" s="104"/>
      <c r="J29" s="105"/>
      <c r="K29" s="106"/>
      <c r="L29" s="105"/>
      <c r="M29" s="105"/>
      <c r="N29" s="105"/>
      <c r="O29" s="129"/>
      <c r="P29" s="130"/>
      <c r="Q29" s="130"/>
      <c r="R29" s="130"/>
      <c r="S29" s="130"/>
      <c r="T29" s="130"/>
      <c r="U29" s="130"/>
      <c r="V29" s="131"/>
    </row>
    <row r="30" spans="1:24" ht="21.95" customHeight="1">
      <c r="A30" s="34"/>
      <c r="B30" s="11" t="s">
        <v>13</v>
      </c>
      <c r="C30" s="36"/>
      <c r="D30" s="40"/>
      <c r="E30" s="90"/>
      <c r="F30" s="91"/>
      <c r="G30" s="3"/>
      <c r="H30" s="12" t="s">
        <v>2</v>
      </c>
      <c r="I30" s="107"/>
      <c r="J30" s="108"/>
      <c r="K30" s="109"/>
      <c r="L30" s="108"/>
      <c r="M30" s="108"/>
      <c r="N30" s="108"/>
      <c r="O30" s="41" t="s">
        <v>60</v>
      </c>
      <c r="P30" s="132"/>
      <c r="Q30" s="133"/>
      <c r="R30" s="41" t="s">
        <v>59</v>
      </c>
      <c r="S30" s="132" t="s">
        <v>105</v>
      </c>
      <c r="T30" s="132"/>
      <c r="U30" s="132"/>
      <c r="V30" s="133"/>
    </row>
    <row r="31" spans="1:24" ht="18" customHeight="1">
      <c r="A31" s="29"/>
      <c r="B31" s="29"/>
      <c r="C31" s="29"/>
      <c r="D31" s="29"/>
      <c r="E31" s="26"/>
      <c r="F31" s="26"/>
      <c r="G31" s="2"/>
      <c r="H31" s="4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spans="1:24" ht="18" customHeight="1">
      <c r="A32" s="2" t="s">
        <v>53</v>
      </c>
      <c r="B32" s="5" t="s">
        <v>90</v>
      </c>
    </row>
    <row r="33" spans="1:21" ht="18" customHeight="1">
      <c r="B33" s="5" t="s">
        <v>89</v>
      </c>
    </row>
    <row r="34" spans="1:21" ht="18" customHeight="1">
      <c r="B34" s="5" t="s">
        <v>57</v>
      </c>
      <c r="C34" s="26"/>
      <c r="D34" s="26"/>
      <c r="E34" s="26"/>
      <c r="F34" s="26"/>
      <c r="G34" s="26"/>
      <c r="H34" s="26"/>
      <c r="I34" s="26"/>
    </row>
    <row r="35" spans="1:21" ht="18" customHeight="1">
      <c r="B35" s="5" t="s">
        <v>58</v>
      </c>
    </row>
    <row r="36" spans="1:21" ht="18" customHeight="1">
      <c r="B36" s="2" t="s">
        <v>88</v>
      </c>
    </row>
    <row r="37" spans="1:21" ht="18" customHeight="1">
      <c r="B37" s="5"/>
    </row>
    <row r="38" spans="1:21" ht="1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21" ht="1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21" ht="18" customHeight="1">
      <c r="J40" s="2"/>
      <c r="Q40" s="1" t="s">
        <v>52</v>
      </c>
      <c r="R40" s="137">
        <v>45839</v>
      </c>
      <c r="S40" s="137"/>
      <c r="T40" s="137"/>
      <c r="U40" s="137"/>
    </row>
    <row r="42" spans="1:21" hidden="1" outlineLevel="1">
      <c r="A42" s="1" t="s">
        <v>5</v>
      </c>
    </row>
    <row r="43" spans="1:21" hidden="1" outlineLevel="1">
      <c r="A43" s="1">
        <v>1</v>
      </c>
      <c r="B43" s="1" t="s">
        <v>7</v>
      </c>
      <c r="C43" s="1" t="s">
        <v>18</v>
      </c>
    </row>
    <row r="44" spans="1:21" hidden="1" outlineLevel="1">
      <c r="A44" s="1">
        <v>2</v>
      </c>
      <c r="B44" s="1" t="s">
        <v>8</v>
      </c>
      <c r="C44" s="1" t="s">
        <v>18</v>
      </c>
    </row>
    <row r="45" spans="1:21" hidden="1" outlineLevel="1">
      <c r="A45" s="1">
        <v>3</v>
      </c>
      <c r="B45" s="1" t="s">
        <v>9</v>
      </c>
      <c r="C45" s="1" t="s">
        <v>18</v>
      </c>
    </row>
    <row r="46" spans="1:21" hidden="1" outlineLevel="1">
      <c r="A46" s="1">
        <v>4</v>
      </c>
      <c r="B46" s="1" t="s">
        <v>10</v>
      </c>
      <c r="C46" s="1" t="s">
        <v>18</v>
      </c>
    </row>
    <row r="47" spans="1:21" hidden="1" outlineLevel="1">
      <c r="A47" s="1">
        <v>5</v>
      </c>
      <c r="B47" s="1" t="s">
        <v>11</v>
      </c>
      <c r="C47" s="1" t="s">
        <v>18</v>
      </c>
    </row>
    <row r="48" spans="1:21" hidden="1" outlineLevel="1">
      <c r="A48" s="32">
        <v>6</v>
      </c>
      <c r="B48" s="32" t="s">
        <v>6</v>
      </c>
      <c r="C48" s="32">
        <f>7*16-1</f>
        <v>111</v>
      </c>
    </row>
    <row r="49" spans="1:3" hidden="1" outlineLevel="1">
      <c r="A49" s="32">
        <v>7</v>
      </c>
      <c r="B49" s="32" t="s">
        <v>12</v>
      </c>
      <c r="C49" s="32">
        <f>7*16-1</f>
        <v>111</v>
      </c>
    </row>
    <row r="50" spans="1:3" collapsed="1"/>
  </sheetData>
  <mergeCells count="80">
    <mergeCell ref="P30:Q30"/>
    <mergeCell ref="S30:V30"/>
    <mergeCell ref="O27:V29"/>
    <mergeCell ref="L29:N30"/>
    <mergeCell ref="R40:U40"/>
    <mergeCell ref="O23:V25"/>
    <mergeCell ref="L25:N26"/>
    <mergeCell ref="L27:N28"/>
    <mergeCell ref="O19:V21"/>
    <mergeCell ref="L21:N22"/>
    <mergeCell ref="L23:N24"/>
    <mergeCell ref="S22:V22"/>
    <mergeCell ref="P26:Q26"/>
    <mergeCell ref="S26:V26"/>
    <mergeCell ref="L19:N20"/>
    <mergeCell ref="P22:Q22"/>
    <mergeCell ref="A27:B28"/>
    <mergeCell ref="C27:C28"/>
    <mergeCell ref="E27:F30"/>
    <mergeCell ref="G27:H29"/>
    <mergeCell ref="I27:K28"/>
    <mergeCell ref="I29:K30"/>
    <mergeCell ref="A23:B24"/>
    <mergeCell ref="C23:C24"/>
    <mergeCell ref="E23:F26"/>
    <mergeCell ref="G23:H25"/>
    <mergeCell ref="I23:K24"/>
    <mergeCell ref="I25:K26"/>
    <mergeCell ref="I21:K22"/>
    <mergeCell ref="A19:B20"/>
    <mergeCell ref="C19:C20"/>
    <mergeCell ref="E19:F22"/>
    <mergeCell ref="G19:H21"/>
    <mergeCell ref="I19:K20"/>
    <mergeCell ref="L15:N16"/>
    <mergeCell ref="O15:V17"/>
    <mergeCell ref="I17:K18"/>
    <mergeCell ref="L17:N18"/>
    <mergeCell ref="A11:B12"/>
    <mergeCell ref="C11:C12"/>
    <mergeCell ref="E11:F14"/>
    <mergeCell ref="P14:Q14"/>
    <mergeCell ref="S14:V14"/>
    <mergeCell ref="P18:Q18"/>
    <mergeCell ref="S18:V18"/>
    <mergeCell ref="A15:B16"/>
    <mergeCell ref="C15:C16"/>
    <mergeCell ref="E15:F18"/>
    <mergeCell ref="G15:H17"/>
    <mergeCell ref="I15:K16"/>
    <mergeCell ref="G11:H13"/>
    <mergeCell ref="I11:K12"/>
    <mergeCell ref="O8:V9"/>
    <mergeCell ref="G9:H10"/>
    <mergeCell ref="A10:C10"/>
    <mergeCell ref="I10:N10"/>
    <mergeCell ref="O10:V10"/>
    <mergeCell ref="A8:C9"/>
    <mergeCell ref="D8:D9"/>
    <mergeCell ref="E8:F10"/>
    <mergeCell ref="G8:H8"/>
    <mergeCell ref="I8:N9"/>
    <mergeCell ref="L11:N12"/>
    <mergeCell ref="O11:V13"/>
    <mergeCell ref="I13:K14"/>
    <mergeCell ref="L13:N14"/>
    <mergeCell ref="G1:O3"/>
    <mergeCell ref="Q3:R3"/>
    <mergeCell ref="S3:V3"/>
    <mergeCell ref="A4:A6"/>
    <mergeCell ref="Q4:R6"/>
    <mergeCell ref="S4:V6"/>
    <mergeCell ref="C5:C6"/>
    <mergeCell ref="E5:F6"/>
    <mergeCell ref="H5:H6"/>
    <mergeCell ref="I5:I6"/>
    <mergeCell ref="J5:J6"/>
    <mergeCell ref="K5:L6"/>
    <mergeCell ref="M5:M6"/>
    <mergeCell ref="N5:O6"/>
  </mergeCells>
  <phoneticPr fontId="1"/>
  <dataValidations count="6">
    <dataValidation type="list" allowBlank="1" showInputMessage="1" showErrorMessage="1" error="リストより選択してください" sqref="I13:N14 I17:N18 I21:N22 I25:N26 I29:N30" xr:uid="{61EA70B6-3442-4899-9CAC-DC89B9D87F2B}">
      <formula1>"全日,前半日,後半日"</formula1>
    </dataValidation>
    <dataValidation type="list" allowBlank="1" showInputMessage="1" showErrorMessage="1" sqref="P26 P14 P18 P22 P30" xr:uid="{6A16911C-3197-4264-9610-8EED0A8460CB}">
      <formula1>"学内,学外"</formula1>
    </dataValidation>
    <dataValidation type="list" allowBlank="1" showInputMessage="1" showErrorMessage="1" sqref="I5:I6" xr:uid="{E26C4134-9E42-4757-B048-AFB5BF1DF49C}">
      <formula1>"LN,M,D,E,I,保"</formula1>
    </dataValidation>
    <dataValidation allowBlank="1" showInputMessage="1" showErrorMessage="1" prompt="自動で表示しますので入力しないでください" sqref="G23 G15 G19 G11 G27" xr:uid="{CEEE345F-4FE2-42B5-9561-39C18E98F2B4}"/>
    <dataValidation imeMode="halfAlpha" allowBlank="1" showInputMessage="1" showErrorMessage="1" sqref="A11:B12 I19 L27 L19 I11 A23:B24 I23 I15 L15 A19:B20 L23 L11 A15:B16 I27 A27:B28" xr:uid="{6A5ACF1C-955A-4354-899F-ED9E585D3A69}"/>
    <dataValidation imeMode="halfAlpha" allowBlank="1" showInputMessage="1" showErrorMessage="1" error="入力は不要です" prompt="日付を入れると自動で表示します" sqref="C11:D12 C19:D20 C15:D16 C27:D28 C23:D24" xr:uid="{41F0A416-C627-455B-B95B-64490B9CA2BF}"/>
  </dataValidations>
  <printOptions horizontalCentered="1"/>
  <pageMargins left="0.23622047244094491" right="0.23622047244094491" top="0.6692913385826772" bottom="0.35433070866141736" header="0.43307086614173229" footer="0.31496062992125984"/>
  <pageSetup paperSize="9" scale="72" orientation="landscape" r:id="rId1"/>
  <headerFooter>
    <oddHeader>&amp;R【土・日・祝・年末年始用】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7091-252A-4141-AE38-7DC3F5D68E01}">
  <sheetPr>
    <pageSetUpPr fitToPage="1"/>
  </sheetPr>
  <dimension ref="A1:X50"/>
  <sheetViews>
    <sheetView view="pageBreakPreview" zoomScaleNormal="100" zoomScaleSheetLayoutView="100" workbookViewId="0">
      <selection activeCell="G11" sqref="G11:H13"/>
    </sheetView>
  </sheetViews>
  <sheetFormatPr defaultColWidth="9" defaultRowHeight="12" outlineLevelRow="1" outlineLevelCol="1"/>
  <cols>
    <col min="1" max="1" width="12.875" style="1" customWidth="1"/>
    <col min="2" max="2" width="7.625" style="1" customWidth="1"/>
    <col min="3" max="3" width="12.5" style="1" customWidth="1"/>
    <col min="4" max="4" width="2.875" style="1" hidden="1" customWidth="1" outlineLevel="1"/>
    <col min="5" max="5" width="4.625" style="1" customWidth="1" collapsed="1"/>
    <col min="6" max="6" width="4.625" style="1" customWidth="1"/>
    <col min="7" max="14" width="11.625" style="1" customWidth="1"/>
    <col min="15" max="16" width="10.625" style="1" customWidth="1"/>
    <col min="17" max="21" width="7.625" style="1" customWidth="1"/>
    <col min="22" max="22" width="3.625" style="1" customWidth="1"/>
    <col min="23" max="24" width="9" style="26"/>
    <col min="25" max="16384" width="9" style="1"/>
  </cols>
  <sheetData>
    <row r="1" spans="1:24" ht="15" customHeight="1">
      <c r="G1" s="64" t="s">
        <v>91</v>
      </c>
      <c r="H1" s="64"/>
      <c r="I1" s="64"/>
      <c r="J1" s="64"/>
      <c r="K1" s="64"/>
      <c r="L1" s="64"/>
      <c r="M1" s="64"/>
      <c r="N1" s="64"/>
      <c r="O1" s="64"/>
    </row>
    <row r="2" spans="1:24" ht="15" customHeight="1">
      <c r="A2" s="2"/>
      <c r="B2" s="2"/>
      <c r="C2" s="2"/>
      <c r="D2" s="2"/>
      <c r="E2" s="2"/>
      <c r="F2" s="2"/>
      <c r="G2" s="64"/>
      <c r="H2" s="64"/>
      <c r="I2" s="64"/>
      <c r="J2" s="64"/>
      <c r="K2" s="64"/>
      <c r="L2" s="64"/>
      <c r="M2" s="64"/>
      <c r="N2" s="64"/>
      <c r="O2" s="64"/>
      <c r="P2" s="2"/>
      <c r="Q2" s="2"/>
      <c r="R2" s="2"/>
      <c r="S2" s="2"/>
      <c r="T2" s="2"/>
      <c r="U2" s="2"/>
      <c r="V2" s="2"/>
    </row>
    <row r="3" spans="1:24" ht="15" customHeight="1">
      <c r="A3" s="28" t="s">
        <v>62</v>
      </c>
      <c r="B3" s="25"/>
      <c r="C3" s="2"/>
      <c r="D3" s="2"/>
      <c r="E3" s="2"/>
      <c r="F3" s="2"/>
      <c r="G3" s="64"/>
      <c r="H3" s="64"/>
      <c r="I3" s="64"/>
      <c r="J3" s="64"/>
      <c r="K3" s="64"/>
      <c r="L3" s="64"/>
      <c r="M3" s="64"/>
      <c r="N3" s="64"/>
      <c r="O3" s="64"/>
      <c r="P3" s="2"/>
      <c r="Q3" s="54" t="s">
        <v>3</v>
      </c>
      <c r="R3" s="54"/>
      <c r="S3" s="54" t="s">
        <v>4</v>
      </c>
      <c r="T3" s="54"/>
      <c r="U3" s="54"/>
      <c r="V3" s="54"/>
    </row>
    <row r="4" spans="1:24" ht="15" customHeight="1" thickBot="1">
      <c r="A4" s="55"/>
      <c r="B4" s="10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55"/>
      <c r="R4" s="55"/>
      <c r="S4" s="55"/>
      <c r="T4" s="55"/>
      <c r="U4" s="55"/>
      <c r="V4" s="55"/>
    </row>
    <row r="5" spans="1:24" ht="15" customHeight="1">
      <c r="A5" s="55"/>
      <c r="B5" s="10"/>
      <c r="C5" s="138"/>
      <c r="D5" s="26"/>
      <c r="E5" s="58" t="s">
        <v>54</v>
      </c>
      <c r="F5" s="58"/>
      <c r="G5" s="2"/>
      <c r="H5" s="60" t="s">
        <v>14</v>
      </c>
      <c r="I5" s="62"/>
      <c r="J5" s="60" t="s">
        <v>15</v>
      </c>
      <c r="K5" s="65"/>
      <c r="L5" s="65"/>
      <c r="M5" s="67" t="s">
        <v>17</v>
      </c>
      <c r="N5" s="69"/>
      <c r="O5" s="70"/>
      <c r="P5" s="26"/>
      <c r="Q5" s="55"/>
      <c r="R5" s="55"/>
      <c r="S5" s="55"/>
      <c r="T5" s="55"/>
      <c r="U5" s="55"/>
      <c r="V5" s="55"/>
    </row>
    <row r="6" spans="1:24" ht="15" customHeight="1" thickBot="1">
      <c r="A6" s="55"/>
      <c r="B6" s="10"/>
      <c r="C6" s="139"/>
      <c r="D6" s="6"/>
      <c r="E6" s="59"/>
      <c r="F6" s="59"/>
      <c r="G6" s="2"/>
      <c r="H6" s="61"/>
      <c r="I6" s="63"/>
      <c r="J6" s="61"/>
      <c r="K6" s="66"/>
      <c r="L6" s="66"/>
      <c r="M6" s="68"/>
      <c r="N6" s="71"/>
      <c r="O6" s="72"/>
      <c r="P6" s="26"/>
      <c r="Q6" s="55"/>
      <c r="R6" s="55"/>
      <c r="S6" s="55"/>
      <c r="T6" s="55"/>
      <c r="U6" s="55"/>
      <c r="V6" s="55"/>
    </row>
    <row r="7" spans="1:24" ht="15" customHeight="1">
      <c r="M7" s="27"/>
    </row>
    <row r="8" spans="1:24" ht="15" customHeight="1">
      <c r="A8" s="110" t="s">
        <v>0</v>
      </c>
      <c r="B8" s="110"/>
      <c r="C8" s="110"/>
      <c r="D8" s="112" t="s">
        <v>5</v>
      </c>
      <c r="E8" s="114" t="s">
        <v>55</v>
      </c>
      <c r="F8" s="115"/>
      <c r="G8" s="120" t="s">
        <v>51</v>
      </c>
      <c r="H8" s="121"/>
      <c r="I8" s="122" t="s">
        <v>108</v>
      </c>
      <c r="J8" s="123"/>
      <c r="K8" s="123"/>
      <c r="L8" s="123"/>
      <c r="M8" s="123"/>
      <c r="N8" s="123"/>
      <c r="O8" s="114" t="s">
        <v>16</v>
      </c>
      <c r="P8" s="134"/>
      <c r="Q8" s="134"/>
      <c r="R8" s="134"/>
      <c r="S8" s="134"/>
      <c r="T8" s="134"/>
      <c r="U8" s="134"/>
      <c r="V8" s="115"/>
    </row>
    <row r="9" spans="1:24" ht="15" customHeight="1">
      <c r="A9" s="111"/>
      <c r="B9" s="111"/>
      <c r="C9" s="111"/>
      <c r="D9" s="113"/>
      <c r="E9" s="116"/>
      <c r="F9" s="117"/>
      <c r="G9" s="73" t="s">
        <v>109</v>
      </c>
      <c r="H9" s="74"/>
      <c r="I9" s="124"/>
      <c r="J9" s="125"/>
      <c r="K9" s="125"/>
      <c r="L9" s="125"/>
      <c r="M9" s="125"/>
      <c r="N9" s="125"/>
      <c r="O9" s="116"/>
      <c r="P9" s="135"/>
      <c r="Q9" s="135"/>
      <c r="R9" s="135"/>
      <c r="S9" s="135"/>
      <c r="T9" s="135"/>
      <c r="U9" s="135"/>
      <c r="V9" s="117"/>
    </row>
    <row r="10" spans="1:24" ht="15" customHeight="1">
      <c r="A10" s="140" t="s">
        <v>1</v>
      </c>
      <c r="B10" s="140"/>
      <c r="C10" s="140"/>
      <c r="D10" s="53"/>
      <c r="E10" s="118"/>
      <c r="F10" s="119"/>
      <c r="G10" s="75"/>
      <c r="H10" s="76"/>
      <c r="I10" s="78" t="s">
        <v>63</v>
      </c>
      <c r="J10" s="79"/>
      <c r="K10" s="79"/>
      <c r="L10" s="79"/>
      <c r="M10" s="79"/>
      <c r="N10" s="79"/>
      <c r="O10" s="75" t="s">
        <v>61</v>
      </c>
      <c r="P10" s="76"/>
      <c r="Q10" s="76"/>
      <c r="R10" s="76"/>
      <c r="S10" s="76"/>
      <c r="T10" s="76"/>
      <c r="U10" s="76"/>
      <c r="V10" s="136"/>
    </row>
    <row r="11" spans="1:24" ht="21.95" customHeight="1">
      <c r="A11" s="162" t="s">
        <v>98</v>
      </c>
      <c r="B11" s="163"/>
      <c r="C11" s="164"/>
      <c r="D11" s="9" t="e">
        <f>IF(A11="","",(WEEKDAY(A11,2)))</f>
        <v>#VALUE!</v>
      </c>
      <c r="E11" s="155" t="s">
        <v>101</v>
      </c>
      <c r="F11" s="87"/>
      <c r="G11" s="156" t="s">
        <v>103</v>
      </c>
      <c r="H11" s="157"/>
      <c r="I11" s="141" t="s">
        <v>103</v>
      </c>
      <c r="J11" s="142"/>
      <c r="K11" s="143"/>
      <c r="L11" s="147" t="s">
        <v>102</v>
      </c>
      <c r="M11" s="142"/>
      <c r="N11" s="143"/>
      <c r="O11" s="149"/>
      <c r="P11" s="150"/>
      <c r="Q11" s="150"/>
      <c r="R11" s="150"/>
      <c r="S11" s="150"/>
      <c r="T11" s="150"/>
      <c r="U11" s="150"/>
      <c r="V11" s="151"/>
      <c r="W11" s="31" t="str">
        <f>IFERROR(WEEKNUM($A11,16),"")</f>
        <v/>
      </c>
      <c r="X11" s="31" t="str">
        <f>IFERROR(WEEKNUM($A11,16),"")</f>
        <v/>
      </c>
    </row>
    <row r="12" spans="1:24" ht="21.95" customHeight="1">
      <c r="A12" s="165"/>
      <c r="B12" s="166"/>
      <c r="C12" s="167"/>
      <c r="D12" s="7"/>
      <c r="E12" s="88"/>
      <c r="F12" s="89"/>
      <c r="G12" s="158"/>
      <c r="H12" s="159"/>
      <c r="I12" s="144"/>
      <c r="J12" s="145"/>
      <c r="K12" s="146"/>
      <c r="L12" s="148"/>
      <c r="M12" s="145"/>
      <c r="N12" s="146"/>
      <c r="O12" s="152"/>
      <c r="P12" s="153"/>
      <c r="Q12" s="153"/>
      <c r="R12" s="153"/>
      <c r="S12" s="153"/>
      <c r="T12" s="153"/>
      <c r="U12" s="153"/>
      <c r="V12" s="154"/>
      <c r="W12" s="31" t="str">
        <f>IFERROR(WEEKNUM(I11,16),"")</f>
        <v/>
      </c>
      <c r="X12" s="31" t="str">
        <f>IFERROR(WEEKNUM(L11,16),"")</f>
        <v/>
      </c>
    </row>
    <row r="13" spans="1:24" ht="21.95" customHeight="1">
      <c r="A13" s="168" t="s">
        <v>99</v>
      </c>
      <c r="B13" s="169"/>
      <c r="C13" s="170"/>
      <c r="D13" s="8"/>
      <c r="E13" s="88"/>
      <c r="F13" s="89"/>
      <c r="G13" s="158"/>
      <c r="H13" s="159"/>
      <c r="I13" s="104" t="s">
        <v>104</v>
      </c>
      <c r="J13" s="105"/>
      <c r="K13" s="106"/>
      <c r="L13" s="105" t="s">
        <v>104</v>
      </c>
      <c r="M13" s="105"/>
      <c r="N13" s="105"/>
      <c r="O13" s="152"/>
      <c r="P13" s="153"/>
      <c r="Q13" s="153"/>
      <c r="R13" s="153"/>
      <c r="S13" s="153"/>
      <c r="T13" s="153"/>
      <c r="U13" s="153"/>
      <c r="V13" s="154"/>
    </row>
    <row r="14" spans="1:24" ht="21.95" customHeight="1">
      <c r="A14" s="171" t="s">
        <v>100</v>
      </c>
      <c r="B14" s="172"/>
      <c r="C14" s="173"/>
      <c r="D14" s="29"/>
      <c r="E14" s="90"/>
      <c r="F14" s="91"/>
      <c r="G14" s="3"/>
      <c r="H14" s="12" t="s">
        <v>2</v>
      </c>
      <c r="I14" s="107"/>
      <c r="J14" s="108"/>
      <c r="K14" s="109"/>
      <c r="L14" s="108"/>
      <c r="M14" s="108"/>
      <c r="N14" s="108"/>
      <c r="O14" s="41" t="s">
        <v>60</v>
      </c>
      <c r="P14" s="160" t="s">
        <v>107</v>
      </c>
      <c r="Q14" s="161"/>
      <c r="R14" s="41" t="s">
        <v>59</v>
      </c>
      <c r="S14" s="160" t="s">
        <v>105</v>
      </c>
      <c r="T14" s="160"/>
      <c r="U14" s="160"/>
      <c r="V14" s="161"/>
    </row>
    <row r="15" spans="1:24" ht="21.95" customHeight="1">
      <c r="A15" s="162" t="s">
        <v>98</v>
      </c>
      <c r="B15" s="163"/>
      <c r="C15" s="164"/>
      <c r="D15" s="9" t="e">
        <f>IF(A15="","",(WEEKDAY(A15,2)))</f>
        <v>#VALUE!</v>
      </c>
      <c r="E15" s="155" t="s">
        <v>101</v>
      </c>
      <c r="F15" s="87"/>
      <c r="G15" s="156" t="s">
        <v>103</v>
      </c>
      <c r="H15" s="157"/>
      <c r="I15" s="141" t="s">
        <v>103</v>
      </c>
      <c r="J15" s="142"/>
      <c r="K15" s="143"/>
      <c r="L15" s="147" t="s">
        <v>102</v>
      </c>
      <c r="M15" s="142"/>
      <c r="N15" s="143"/>
      <c r="O15" s="149"/>
      <c r="P15" s="150"/>
      <c r="Q15" s="150"/>
      <c r="R15" s="150"/>
      <c r="S15" s="150"/>
      <c r="T15" s="150"/>
      <c r="U15" s="150"/>
      <c r="V15" s="151"/>
      <c r="W15" s="31" t="str">
        <f>IFERROR(WEEKNUM($A15,16),"")</f>
        <v/>
      </c>
      <c r="X15" s="31" t="str">
        <f>IFERROR(WEEKNUM($A15,16),"")</f>
        <v/>
      </c>
    </row>
    <row r="16" spans="1:24" ht="21.95" customHeight="1">
      <c r="A16" s="165"/>
      <c r="B16" s="166"/>
      <c r="C16" s="167"/>
      <c r="D16" s="7"/>
      <c r="E16" s="88"/>
      <c r="F16" s="89"/>
      <c r="G16" s="158"/>
      <c r="H16" s="159"/>
      <c r="I16" s="144"/>
      <c r="J16" s="145"/>
      <c r="K16" s="146"/>
      <c r="L16" s="148"/>
      <c r="M16" s="145"/>
      <c r="N16" s="146"/>
      <c r="O16" s="152"/>
      <c r="P16" s="153"/>
      <c r="Q16" s="153"/>
      <c r="R16" s="153"/>
      <c r="S16" s="153"/>
      <c r="T16" s="153"/>
      <c r="U16" s="153"/>
      <c r="V16" s="154"/>
      <c r="W16" s="31" t="str">
        <f>IFERROR(WEEKNUM(I15,16),"")</f>
        <v/>
      </c>
      <c r="X16" s="31" t="str">
        <f>IFERROR(WEEKNUM(L15,16),"")</f>
        <v/>
      </c>
    </row>
    <row r="17" spans="1:24" ht="21.95" customHeight="1">
      <c r="A17" s="168" t="s">
        <v>99</v>
      </c>
      <c r="B17" s="169"/>
      <c r="C17" s="170"/>
      <c r="D17" s="8"/>
      <c r="E17" s="88"/>
      <c r="F17" s="89"/>
      <c r="G17" s="158"/>
      <c r="H17" s="159"/>
      <c r="I17" s="104" t="s">
        <v>104</v>
      </c>
      <c r="J17" s="105"/>
      <c r="K17" s="106"/>
      <c r="L17" s="105" t="s">
        <v>104</v>
      </c>
      <c r="M17" s="105"/>
      <c r="N17" s="105"/>
      <c r="O17" s="152"/>
      <c r="P17" s="153"/>
      <c r="Q17" s="153"/>
      <c r="R17" s="153"/>
      <c r="S17" s="153"/>
      <c r="T17" s="153"/>
      <c r="U17" s="153"/>
      <c r="V17" s="154"/>
    </row>
    <row r="18" spans="1:24" ht="21.95" customHeight="1">
      <c r="A18" s="171" t="s">
        <v>100</v>
      </c>
      <c r="B18" s="172"/>
      <c r="C18" s="173"/>
      <c r="D18" s="29"/>
      <c r="E18" s="90"/>
      <c r="F18" s="91"/>
      <c r="G18" s="3"/>
      <c r="H18" s="12" t="s">
        <v>2</v>
      </c>
      <c r="I18" s="107"/>
      <c r="J18" s="108"/>
      <c r="K18" s="109"/>
      <c r="L18" s="108"/>
      <c r="M18" s="108"/>
      <c r="N18" s="108"/>
      <c r="O18" s="41" t="s">
        <v>60</v>
      </c>
      <c r="P18" s="160" t="s">
        <v>107</v>
      </c>
      <c r="Q18" s="161"/>
      <c r="R18" s="41" t="s">
        <v>59</v>
      </c>
      <c r="S18" s="160" t="s">
        <v>105</v>
      </c>
      <c r="T18" s="160"/>
      <c r="U18" s="160"/>
      <c r="V18" s="161"/>
    </row>
    <row r="19" spans="1:24" ht="21.95" customHeight="1">
      <c r="A19" s="162" t="s">
        <v>98</v>
      </c>
      <c r="B19" s="163"/>
      <c r="C19" s="164"/>
      <c r="D19" s="9" t="e">
        <f>IF(A19="","",(WEEKDAY(A19,2)))</f>
        <v>#VALUE!</v>
      </c>
      <c r="E19" s="155" t="s">
        <v>101</v>
      </c>
      <c r="F19" s="87"/>
      <c r="G19" s="156" t="s">
        <v>103</v>
      </c>
      <c r="H19" s="157"/>
      <c r="I19" s="141" t="s">
        <v>103</v>
      </c>
      <c r="J19" s="142"/>
      <c r="K19" s="143"/>
      <c r="L19" s="147" t="s">
        <v>102</v>
      </c>
      <c r="M19" s="142"/>
      <c r="N19" s="143"/>
      <c r="O19" s="149"/>
      <c r="P19" s="150"/>
      <c r="Q19" s="150"/>
      <c r="R19" s="150"/>
      <c r="S19" s="150"/>
      <c r="T19" s="150"/>
      <c r="U19" s="150"/>
      <c r="V19" s="151"/>
      <c r="W19" s="26" t="str">
        <f>IFERROR(WEEKNUM($A19,16),"")</f>
        <v/>
      </c>
      <c r="X19" s="26" t="str">
        <f>IFERROR(WEEKNUM($A19,16),"")</f>
        <v/>
      </c>
    </row>
    <row r="20" spans="1:24" ht="21.95" customHeight="1">
      <c r="A20" s="165"/>
      <c r="B20" s="166"/>
      <c r="C20" s="167"/>
      <c r="D20" s="7"/>
      <c r="E20" s="88"/>
      <c r="F20" s="89"/>
      <c r="G20" s="158"/>
      <c r="H20" s="159"/>
      <c r="I20" s="144"/>
      <c r="J20" s="145"/>
      <c r="K20" s="146"/>
      <c r="L20" s="148"/>
      <c r="M20" s="145"/>
      <c r="N20" s="146"/>
      <c r="O20" s="152"/>
      <c r="P20" s="153"/>
      <c r="Q20" s="153"/>
      <c r="R20" s="153"/>
      <c r="S20" s="153"/>
      <c r="T20" s="153"/>
      <c r="U20" s="153"/>
      <c r="V20" s="154"/>
      <c r="W20" s="26" t="str">
        <f>IFERROR(WEEKNUM(I19,16),"")</f>
        <v/>
      </c>
      <c r="X20" s="26" t="str">
        <f>IFERROR(WEEKNUM(L19,16),"")</f>
        <v/>
      </c>
    </row>
    <row r="21" spans="1:24" ht="21.95" customHeight="1">
      <c r="A21" s="168" t="s">
        <v>99</v>
      </c>
      <c r="B21" s="169"/>
      <c r="C21" s="170"/>
      <c r="D21" s="8"/>
      <c r="E21" s="88"/>
      <c r="F21" s="89"/>
      <c r="G21" s="158"/>
      <c r="H21" s="159"/>
      <c r="I21" s="104" t="s">
        <v>104</v>
      </c>
      <c r="J21" s="105"/>
      <c r="K21" s="106"/>
      <c r="L21" s="105" t="s">
        <v>104</v>
      </c>
      <c r="M21" s="105"/>
      <c r="N21" s="105"/>
      <c r="O21" s="152"/>
      <c r="P21" s="153"/>
      <c r="Q21" s="153"/>
      <c r="R21" s="153"/>
      <c r="S21" s="153"/>
      <c r="T21" s="153"/>
      <c r="U21" s="153"/>
      <c r="V21" s="154"/>
    </row>
    <row r="22" spans="1:24" ht="21.95" customHeight="1">
      <c r="A22" s="171" t="s">
        <v>100</v>
      </c>
      <c r="B22" s="172"/>
      <c r="C22" s="173"/>
      <c r="D22" s="29"/>
      <c r="E22" s="90"/>
      <c r="F22" s="91"/>
      <c r="G22" s="3"/>
      <c r="H22" s="12" t="s">
        <v>2</v>
      </c>
      <c r="I22" s="107"/>
      <c r="J22" s="108"/>
      <c r="K22" s="109"/>
      <c r="L22" s="108"/>
      <c r="M22" s="108"/>
      <c r="N22" s="108"/>
      <c r="O22" s="41" t="s">
        <v>60</v>
      </c>
      <c r="P22" s="160" t="s">
        <v>107</v>
      </c>
      <c r="Q22" s="161"/>
      <c r="R22" s="41" t="s">
        <v>59</v>
      </c>
      <c r="S22" s="160" t="s">
        <v>105</v>
      </c>
      <c r="T22" s="160"/>
      <c r="U22" s="160"/>
      <c r="V22" s="161"/>
    </row>
    <row r="23" spans="1:24" ht="21.95" customHeight="1">
      <c r="A23" s="162" t="s">
        <v>98</v>
      </c>
      <c r="B23" s="163"/>
      <c r="C23" s="164"/>
      <c r="D23" s="9" t="e">
        <f>IF(A23="","",(WEEKDAY(A23,2)))</f>
        <v>#VALUE!</v>
      </c>
      <c r="E23" s="155" t="s">
        <v>101</v>
      </c>
      <c r="F23" s="87"/>
      <c r="G23" s="156" t="s">
        <v>103</v>
      </c>
      <c r="H23" s="157"/>
      <c r="I23" s="141" t="s">
        <v>103</v>
      </c>
      <c r="J23" s="142"/>
      <c r="K23" s="143"/>
      <c r="L23" s="147" t="s">
        <v>102</v>
      </c>
      <c r="M23" s="142"/>
      <c r="N23" s="143"/>
      <c r="O23" s="149"/>
      <c r="P23" s="150"/>
      <c r="Q23" s="150"/>
      <c r="R23" s="150"/>
      <c r="S23" s="150"/>
      <c r="T23" s="150"/>
      <c r="U23" s="150"/>
      <c r="V23" s="151"/>
      <c r="W23" s="26" t="str">
        <f>IFERROR(WEEKNUM($A23,16),"")</f>
        <v/>
      </c>
      <c r="X23" s="26" t="str">
        <f>IFERROR(WEEKNUM($A23,16),"")</f>
        <v/>
      </c>
    </row>
    <row r="24" spans="1:24" ht="21.95" customHeight="1">
      <c r="A24" s="165"/>
      <c r="B24" s="166"/>
      <c r="C24" s="167"/>
      <c r="D24" s="7"/>
      <c r="E24" s="88"/>
      <c r="F24" s="89"/>
      <c r="G24" s="158"/>
      <c r="H24" s="159"/>
      <c r="I24" s="144"/>
      <c r="J24" s="145"/>
      <c r="K24" s="146"/>
      <c r="L24" s="148"/>
      <c r="M24" s="145"/>
      <c r="N24" s="146"/>
      <c r="O24" s="152"/>
      <c r="P24" s="153"/>
      <c r="Q24" s="153"/>
      <c r="R24" s="153"/>
      <c r="S24" s="153"/>
      <c r="T24" s="153"/>
      <c r="U24" s="153"/>
      <c r="V24" s="154"/>
      <c r="W24" s="26" t="str">
        <f>IFERROR(WEEKNUM(I23,16),"")</f>
        <v/>
      </c>
      <c r="X24" s="26" t="str">
        <f>IFERROR(WEEKNUM(L23,16),"")</f>
        <v/>
      </c>
    </row>
    <row r="25" spans="1:24" ht="21.95" customHeight="1">
      <c r="A25" s="168" t="s">
        <v>99</v>
      </c>
      <c r="B25" s="169"/>
      <c r="C25" s="170"/>
      <c r="D25" s="8"/>
      <c r="E25" s="88"/>
      <c r="F25" s="89"/>
      <c r="G25" s="158"/>
      <c r="H25" s="159"/>
      <c r="I25" s="104" t="s">
        <v>104</v>
      </c>
      <c r="J25" s="105"/>
      <c r="K25" s="106"/>
      <c r="L25" s="105" t="s">
        <v>104</v>
      </c>
      <c r="M25" s="105"/>
      <c r="N25" s="105"/>
      <c r="O25" s="152"/>
      <c r="P25" s="153"/>
      <c r="Q25" s="153"/>
      <c r="R25" s="153"/>
      <c r="S25" s="153"/>
      <c r="T25" s="153"/>
      <c r="U25" s="153"/>
      <c r="V25" s="154"/>
    </row>
    <row r="26" spans="1:24" ht="21.95" customHeight="1">
      <c r="A26" s="171" t="s">
        <v>100</v>
      </c>
      <c r="B26" s="172"/>
      <c r="C26" s="173"/>
      <c r="D26" s="29"/>
      <c r="E26" s="90"/>
      <c r="F26" s="91"/>
      <c r="G26" s="3"/>
      <c r="H26" s="12" t="s">
        <v>2</v>
      </c>
      <c r="I26" s="107"/>
      <c r="J26" s="108"/>
      <c r="K26" s="109"/>
      <c r="L26" s="108"/>
      <c r="M26" s="108"/>
      <c r="N26" s="108"/>
      <c r="O26" s="41" t="s">
        <v>60</v>
      </c>
      <c r="P26" s="160" t="s">
        <v>107</v>
      </c>
      <c r="Q26" s="161"/>
      <c r="R26" s="41" t="s">
        <v>59</v>
      </c>
      <c r="S26" s="160" t="s">
        <v>105</v>
      </c>
      <c r="T26" s="160"/>
      <c r="U26" s="160"/>
      <c r="V26" s="161"/>
    </row>
    <row r="27" spans="1:24" ht="21.95" customHeight="1">
      <c r="A27" s="162" t="s">
        <v>98</v>
      </c>
      <c r="B27" s="163"/>
      <c r="C27" s="164"/>
      <c r="D27" s="9" t="e">
        <f>IF(A27="","",(WEEKDAY(A27,2)))</f>
        <v>#VALUE!</v>
      </c>
      <c r="E27" s="155" t="s">
        <v>101</v>
      </c>
      <c r="F27" s="87"/>
      <c r="G27" s="156" t="s">
        <v>103</v>
      </c>
      <c r="H27" s="157"/>
      <c r="I27" s="141" t="s">
        <v>103</v>
      </c>
      <c r="J27" s="142"/>
      <c r="K27" s="143"/>
      <c r="L27" s="147" t="s">
        <v>102</v>
      </c>
      <c r="M27" s="142"/>
      <c r="N27" s="143"/>
      <c r="O27" s="149"/>
      <c r="P27" s="150"/>
      <c r="Q27" s="150"/>
      <c r="R27" s="150"/>
      <c r="S27" s="150"/>
      <c r="T27" s="150"/>
      <c r="U27" s="150"/>
      <c r="V27" s="151"/>
      <c r="W27" s="26" t="str">
        <f>IFERROR(WEEKNUM($A27,16),"")</f>
        <v/>
      </c>
      <c r="X27" s="26" t="str">
        <f>IFERROR(WEEKNUM($A27,16),"")</f>
        <v/>
      </c>
    </row>
    <row r="28" spans="1:24" ht="21.95" customHeight="1">
      <c r="A28" s="165"/>
      <c r="B28" s="166"/>
      <c r="C28" s="167"/>
      <c r="D28" s="7"/>
      <c r="E28" s="88"/>
      <c r="F28" s="89"/>
      <c r="G28" s="158"/>
      <c r="H28" s="159"/>
      <c r="I28" s="144"/>
      <c r="J28" s="145"/>
      <c r="K28" s="146"/>
      <c r="L28" s="148"/>
      <c r="M28" s="145"/>
      <c r="N28" s="146"/>
      <c r="O28" s="152"/>
      <c r="P28" s="153"/>
      <c r="Q28" s="153"/>
      <c r="R28" s="153"/>
      <c r="S28" s="153"/>
      <c r="T28" s="153"/>
      <c r="U28" s="153"/>
      <c r="V28" s="154"/>
      <c r="W28" s="26" t="str">
        <f>IFERROR(WEEKNUM(I27,16),"")</f>
        <v/>
      </c>
      <c r="X28" s="26" t="str">
        <f>IFERROR(WEEKNUM(L27,16),"")</f>
        <v/>
      </c>
    </row>
    <row r="29" spans="1:24" ht="21.95" customHeight="1">
      <c r="A29" s="168" t="s">
        <v>99</v>
      </c>
      <c r="B29" s="169"/>
      <c r="C29" s="170"/>
      <c r="D29" s="8"/>
      <c r="E29" s="88"/>
      <c r="F29" s="89"/>
      <c r="G29" s="158"/>
      <c r="H29" s="159"/>
      <c r="I29" s="104" t="s">
        <v>104</v>
      </c>
      <c r="J29" s="105"/>
      <c r="K29" s="106"/>
      <c r="L29" s="105" t="s">
        <v>104</v>
      </c>
      <c r="M29" s="105"/>
      <c r="N29" s="105"/>
      <c r="O29" s="152"/>
      <c r="P29" s="153"/>
      <c r="Q29" s="153"/>
      <c r="R29" s="153"/>
      <c r="S29" s="153"/>
      <c r="T29" s="153"/>
      <c r="U29" s="153"/>
      <c r="V29" s="154"/>
    </row>
    <row r="30" spans="1:24" ht="21.95" customHeight="1">
      <c r="A30" s="171" t="s">
        <v>100</v>
      </c>
      <c r="B30" s="172"/>
      <c r="C30" s="173"/>
      <c r="D30" s="52"/>
      <c r="E30" s="90"/>
      <c r="F30" s="91"/>
      <c r="G30" s="3"/>
      <c r="H30" s="12" t="s">
        <v>2</v>
      </c>
      <c r="I30" s="107"/>
      <c r="J30" s="108"/>
      <c r="K30" s="109"/>
      <c r="L30" s="108"/>
      <c r="M30" s="108"/>
      <c r="N30" s="108"/>
      <c r="O30" s="41" t="s">
        <v>60</v>
      </c>
      <c r="P30" s="160" t="s">
        <v>107</v>
      </c>
      <c r="Q30" s="161"/>
      <c r="R30" s="41" t="s">
        <v>59</v>
      </c>
      <c r="S30" s="160" t="s">
        <v>105</v>
      </c>
      <c r="T30" s="160"/>
      <c r="U30" s="160"/>
      <c r="V30" s="161"/>
    </row>
    <row r="31" spans="1:24" ht="18" customHeight="1">
      <c r="A31" s="29"/>
      <c r="B31" s="29"/>
      <c r="C31" s="29"/>
      <c r="D31" s="29"/>
      <c r="E31" s="26"/>
      <c r="F31" s="26"/>
      <c r="G31" s="2"/>
      <c r="H31" s="4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spans="1:24" ht="18" customHeight="1">
      <c r="A32" s="2" t="s">
        <v>53</v>
      </c>
      <c r="B32" s="5" t="s">
        <v>90</v>
      </c>
    </row>
    <row r="33" spans="1:21" ht="18" customHeight="1">
      <c r="B33" s="5" t="s">
        <v>89</v>
      </c>
    </row>
    <row r="34" spans="1:21" ht="18" customHeight="1">
      <c r="B34" s="5" t="s">
        <v>57</v>
      </c>
      <c r="C34" s="26"/>
      <c r="D34" s="26"/>
      <c r="E34" s="26"/>
      <c r="F34" s="26"/>
      <c r="G34" s="26"/>
      <c r="H34" s="26"/>
      <c r="I34" s="26"/>
    </row>
    <row r="35" spans="1:21" ht="18" customHeight="1">
      <c r="B35" s="5" t="s">
        <v>58</v>
      </c>
    </row>
    <row r="36" spans="1:21" ht="18" customHeight="1">
      <c r="B36" s="2" t="s">
        <v>88</v>
      </c>
    </row>
    <row r="37" spans="1:21" ht="18" customHeight="1">
      <c r="B37" s="5"/>
    </row>
    <row r="38" spans="1:21" ht="1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21" ht="1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21" ht="18" customHeight="1">
      <c r="J40" s="2"/>
      <c r="Q40" s="1" t="s">
        <v>52</v>
      </c>
      <c r="R40" s="137">
        <v>45839</v>
      </c>
      <c r="S40" s="137"/>
      <c r="T40" s="137"/>
      <c r="U40" s="137"/>
    </row>
    <row r="42" spans="1:21" hidden="1" outlineLevel="1">
      <c r="A42" s="1" t="s">
        <v>5</v>
      </c>
    </row>
    <row r="43" spans="1:21" hidden="1" outlineLevel="1">
      <c r="A43" s="1">
        <v>1</v>
      </c>
      <c r="B43" s="1" t="s">
        <v>7</v>
      </c>
      <c r="C43" s="1" t="s">
        <v>18</v>
      </c>
    </row>
    <row r="44" spans="1:21" hidden="1" outlineLevel="1">
      <c r="A44" s="1">
        <v>2</v>
      </c>
      <c r="B44" s="1" t="s">
        <v>8</v>
      </c>
      <c r="C44" s="1" t="s">
        <v>18</v>
      </c>
    </row>
    <row r="45" spans="1:21" hidden="1" outlineLevel="1">
      <c r="A45" s="1">
        <v>3</v>
      </c>
      <c r="B45" s="1" t="s">
        <v>9</v>
      </c>
      <c r="C45" s="1" t="s">
        <v>18</v>
      </c>
    </row>
    <row r="46" spans="1:21" hidden="1" outlineLevel="1">
      <c r="A46" s="1">
        <v>4</v>
      </c>
      <c r="B46" s="1" t="s">
        <v>10</v>
      </c>
      <c r="C46" s="1" t="s">
        <v>18</v>
      </c>
    </row>
    <row r="47" spans="1:21" hidden="1" outlineLevel="1">
      <c r="A47" s="1">
        <v>5</v>
      </c>
      <c r="B47" s="1" t="s">
        <v>11</v>
      </c>
      <c r="C47" s="1" t="s">
        <v>18</v>
      </c>
    </row>
    <row r="48" spans="1:21" hidden="1" outlineLevel="1">
      <c r="A48" s="32">
        <v>6</v>
      </c>
      <c r="B48" s="32" t="s">
        <v>6</v>
      </c>
      <c r="C48" s="32">
        <f>7*16-1</f>
        <v>111</v>
      </c>
    </row>
    <row r="49" spans="1:3" hidden="1" outlineLevel="1">
      <c r="A49" s="32">
        <v>7</v>
      </c>
      <c r="B49" s="32" t="s">
        <v>12</v>
      </c>
      <c r="C49" s="32">
        <f>7*16-1</f>
        <v>111</v>
      </c>
    </row>
    <row r="50" spans="1:3" collapsed="1"/>
  </sheetData>
  <mergeCells count="85">
    <mergeCell ref="A26:C26"/>
    <mergeCell ref="A27:C28"/>
    <mergeCell ref="A29:C29"/>
    <mergeCell ref="A30:C30"/>
    <mergeCell ref="P30:Q30"/>
    <mergeCell ref="I29:K30"/>
    <mergeCell ref="L29:N30"/>
    <mergeCell ref="E23:F26"/>
    <mergeCell ref="G23:H25"/>
    <mergeCell ref="I23:K24"/>
    <mergeCell ref="L23:N24"/>
    <mergeCell ref="P26:Q26"/>
    <mergeCell ref="A22:C22"/>
    <mergeCell ref="A23:C24"/>
    <mergeCell ref="A25:C25"/>
    <mergeCell ref="P18:Q18"/>
    <mergeCell ref="S18:V18"/>
    <mergeCell ref="P22:Q22"/>
    <mergeCell ref="S22:V22"/>
    <mergeCell ref="E19:F22"/>
    <mergeCell ref="G19:H21"/>
    <mergeCell ref="I19:K20"/>
    <mergeCell ref="L19:N20"/>
    <mergeCell ref="O19:V21"/>
    <mergeCell ref="I21:K22"/>
    <mergeCell ref="L21:N22"/>
    <mergeCell ref="E15:F18"/>
    <mergeCell ref="G15:H17"/>
    <mergeCell ref="A15:C16"/>
    <mergeCell ref="A17:C17"/>
    <mergeCell ref="A18:C18"/>
    <mergeCell ref="A19:C20"/>
    <mergeCell ref="A21:C21"/>
    <mergeCell ref="A11:C12"/>
    <mergeCell ref="A13:C13"/>
    <mergeCell ref="A14:C14"/>
    <mergeCell ref="P14:Q14"/>
    <mergeCell ref="S14:V14"/>
    <mergeCell ref="E11:F14"/>
    <mergeCell ref="G11:H13"/>
    <mergeCell ref="I11:K12"/>
    <mergeCell ref="L11:N12"/>
    <mergeCell ref="O11:V13"/>
    <mergeCell ref="I13:K14"/>
    <mergeCell ref="L13:N14"/>
    <mergeCell ref="R40:U40"/>
    <mergeCell ref="O23:V25"/>
    <mergeCell ref="I25:K26"/>
    <mergeCell ref="L25:N26"/>
    <mergeCell ref="E27:F30"/>
    <mergeCell ref="G27:H29"/>
    <mergeCell ref="I27:K28"/>
    <mergeCell ref="L27:N28"/>
    <mergeCell ref="S30:V30"/>
    <mergeCell ref="S26:V26"/>
    <mergeCell ref="O27:V29"/>
    <mergeCell ref="I15:K16"/>
    <mergeCell ref="L15:N16"/>
    <mergeCell ref="O15:V17"/>
    <mergeCell ref="I17:K18"/>
    <mergeCell ref="L17:N18"/>
    <mergeCell ref="O8:V9"/>
    <mergeCell ref="G9:H10"/>
    <mergeCell ref="A10:C10"/>
    <mergeCell ref="I10:N10"/>
    <mergeCell ref="O10:V10"/>
    <mergeCell ref="A8:C9"/>
    <mergeCell ref="D8:D9"/>
    <mergeCell ref="E8:F10"/>
    <mergeCell ref="G8:H8"/>
    <mergeCell ref="I8:N9"/>
    <mergeCell ref="G1:O3"/>
    <mergeCell ref="Q3:R3"/>
    <mergeCell ref="S3:V3"/>
    <mergeCell ref="A4:A6"/>
    <mergeCell ref="Q4:R6"/>
    <mergeCell ref="S4:V6"/>
    <mergeCell ref="C5:C6"/>
    <mergeCell ref="E5:F6"/>
    <mergeCell ref="H5:H6"/>
    <mergeCell ref="I5:I6"/>
    <mergeCell ref="J5:J6"/>
    <mergeCell ref="K5:L6"/>
    <mergeCell ref="M5:M6"/>
    <mergeCell ref="N5:O6"/>
  </mergeCells>
  <phoneticPr fontId="1"/>
  <dataValidations count="4">
    <dataValidation type="list" allowBlank="1" showInputMessage="1" showErrorMessage="1" sqref="I5:I6" xr:uid="{320ABEAE-71FF-4E91-9433-7D742B9FC415}">
      <formula1>"LN,M,D,E,I,保"</formula1>
    </dataValidation>
    <dataValidation allowBlank="1" showInputMessage="1" showErrorMessage="1" prompt="自動で表示しますので入力しないでください" sqref="G19 G23 G15 G11 G27" xr:uid="{CFC099B5-579E-4EBD-B77D-2224FB562A61}"/>
    <dataValidation imeMode="halfAlpha" allowBlank="1" showInputMessage="1" showErrorMessage="1" sqref="A23 I15 I23 L15 I11 A19 I19 L23 A11 A15 L19 L11 L27 I27 A27" xr:uid="{8A2F29F9-6CE5-4C34-A689-823DB8C5FB32}"/>
    <dataValidation imeMode="halfAlpha" allowBlank="1" showInputMessage="1" showErrorMessage="1" error="入力は不要です" prompt="日付を入れると自動で表示します" sqref="D19:D20 D15:D16 D11:D12 D23:D24 D27:D28" xr:uid="{2DFF927E-FDD8-488B-852B-ABFA3EC59C9F}"/>
  </dataValidations>
  <printOptions horizontalCentered="1"/>
  <pageMargins left="0.23622047244094491" right="0.23622047244094491" top="0.6692913385826772" bottom="0.35433070866141736" header="0.43307086614173229" footer="0.31496062992125984"/>
  <pageSetup paperSize="9" scale="72" orientation="landscape" r:id="rId1"/>
  <headerFooter>
    <oddHeader>&amp;R【土・日・祝・年末年始用】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N137"/>
  <sheetViews>
    <sheetView zoomScale="70" zoomScaleNormal="70" workbookViewId="0">
      <pane ySplit="2" topLeftCell="A3" activePane="bottomLeft" state="frozen"/>
      <selection pane="bottomLeft" activeCell="B11" sqref="B11"/>
    </sheetView>
  </sheetViews>
  <sheetFormatPr defaultColWidth="9" defaultRowHeight="13.5"/>
  <cols>
    <col min="1" max="1" width="22.125" style="37" customWidth="1"/>
    <col min="2" max="2" width="16.875" style="15" bestFit="1" customWidth="1"/>
    <col min="3" max="3" width="12.625" style="15" bestFit="1" customWidth="1"/>
    <col min="4" max="4" width="9" style="15"/>
    <col min="5" max="5" width="15.625" style="15" bestFit="1" customWidth="1"/>
    <col min="6" max="6" width="19.125" style="15" bestFit="1" customWidth="1"/>
    <col min="7" max="7" width="10.5" style="15" bestFit="1" customWidth="1"/>
    <col min="8" max="12" width="9" style="15"/>
    <col min="13" max="13" width="14.125" style="15" customWidth="1"/>
    <col min="14" max="14" width="10.5" style="15" bestFit="1" customWidth="1"/>
    <col min="15" max="16384" width="9" style="15"/>
  </cols>
  <sheetData>
    <row r="1" spans="1:9">
      <c r="A1" s="14"/>
      <c r="F1" s="16" t="s">
        <v>19</v>
      </c>
    </row>
    <row r="2" spans="1:9">
      <c r="A2" s="38" t="s">
        <v>20</v>
      </c>
      <c r="B2" s="39"/>
      <c r="F2" s="17" t="s">
        <v>21</v>
      </c>
      <c r="G2" s="18">
        <v>0.33333333333333331</v>
      </c>
      <c r="H2" s="19">
        <v>0.6875</v>
      </c>
      <c r="I2" s="19">
        <v>0.69791666666666663</v>
      </c>
    </row>
    <row r="3" spans="1:9">
      <c r="A3" s="47">
        <v>45411</v>
      </c>
      <c r="B3" s="48" t="s">
        <v>30</v>
      </c>
      <c r="C3" s="49" t="s">
        <v>65</v>
      </c>
      <c r="F3" s="17" t="s">
        <v>22</v>
      </c>
      <c r="G3" s="18">
        <v>0.36458333333333331</v>
      </c>
      <c r="H3" s="19">
        <v>0.71875</v>
      </c>
      <c r="I3" s="19">
        <v>0.72916666666666663</v>
      </c>
    </row>
    <row r="4" spans="1:9">
      <c r="A4" s="47">
        <v>45415</v>
      </c>
      <c r="B4" s="48" t="s">
        <v>31</v>
      </c>
      <c r="C4" s="50"/>
      <c r="F4" s="17" t="s">
        <v>23</v>
      </c>
      <c r="G4" s="19">
        <v>0.39583333333333331</v>
      </c>
      <c r="H4" s="19">
        <v>0.75</v>
      </c>
      <c r="I4" s="19">
        <v>0.76041666666666663</v>
      </c>
    </row>
    <row r="5" spans="1:9">
      <c r="A5" s="47">
        <v>45416</v>
      </c>
      <c r="B5" s="48" t="s">
        <v>33</v>
      </c>
      <c r="C5" s="50"/>
      <c r="F5" s="17" t="s">
        <v>24</v>
      </c>
      <c r="G5" s="19">
        <v>0.4375</v>
      </c>
      <c r="H5" s="19">
        <v>0.79166666666666663</v>
      </c>
      <c r="I5" s="19">
        <v>0.80208333333333337</v>
      </c>
    </row>
    <row r="6" spans="1:9">
      <c r="A6" s="47">
        <v>45417</v>
      </c>
      <c r="B6" s="48" t="s">
        <v>35</v>
      </c>
      <c r="C6" s="50"/>
      <c r="F6" s="17" t="s">
        <v>26</v>
      </c>
      <c r="G6" s="19">
        <v>0.47916666666666669</v>
      </c>
      <c r="H6" s="19">
        <v>0.83333333333333337</v>
      </c>
      <c r="I6" s="19">
        <v>0.84375</v>
      </c>
    </row>
    <row r="7" spans="1:9">
      <c r="A7" s="47">
        <v>45418</v>
      </c>
      <c r="B7" s="48" t="s">
        <v>49</v>
      </c>
      <c r="C7" s="50"/>
      <c r="F7" s="17"/>
      <c r="G7" s="19"/>
      <c r="H7" s="19"/>
      <c r="I7" s="19"/>
    </row>
    <row r="8" spans="1:9">
      <c r="A8" s="47">
        <v>45488</v>
      </c>
      <c r="B8" s="48" t="s">
        <v>37</v>
      </c>
      <c r="C8" s="50"/>
      <c r="F8" s="17"/>
      <c r="G8" s="19"/>
      <c r="H8" s="19"/>
      <c r="I8" s="19"/>
    </row>
    <row r="9" spans="1:9">
      <c r="A9" s="47">
        <v>45515</v>
      </c>
      <c r="B9" s="48" t="s">
        <v>38</v>
      </c>
      <c r="C9" s="50"/>
      <c r="F9" s="17" t="s">
        <v>29</v>
      </c>
    </row>
    <row r="10" spans="1:9">
      <c r="A10" s="47">
        <v>45516</v>
      </c>
      <c r="B10" s="48" t="s">
        <v>49</v>
      </c>
      <c r="C10" s="50"/>
      <c r="F10" s="14"/>
    </row>
    <row r="11" spans="1:9">
      <c r="A11" s="47">
        <v>45551</v>
      </c>
      <c r="B11" s="48" t="s">
        <v>40</v>
      </c>
      <c r="C11" s="50"/>
      <c r="F11" s="14"/>
    </row>
    <row r="12" spans="1:9">
      <c r="A12" s="47">
        <v>45557</v>
      </c>
      <c r="B12" s="48" t="s">
        <v>42</v>
      </c>
      <c r="C12" s="50"/>
      <c r="F12" s="16" t="s">
        <v>32</v>
      </c>
    </row>
    <row r="13" spans="1:9">
      <c r="A13" s="47">
        <v>45558</v>
      </c>
      <c r="B13" s="48" t="s">
        <v>49</v>
      </c>
      <c r="C13" s="50"/>
      <c r="F13" s="14" t="s">
        <v>34</v>
      </c>
    </row>
    <row r="14" spans="1:9">
      <c r="A14" s="47">
        <v>45579</v>
      </c>
      <c r="B14" s="48" t="s">
        <v>50</v>
      </c>
      <c r="C14" s="50"/>
      <c r="F14" s="14" t="s">
        <v>36</v>
      </c>
    </row>
    <row r="15" spans="1:9">
      <c r="A15" s="47">
        <v>45599</v>
      </c>
      <c r="B15" s="48" t="s">
        <v>45</v>
      </c>
      <c r="C15" s="50"/>
    </row>
    <row r="16" spans="1:9">
      <c r="A16" s="47">
        <v>45600</v>
      </c>
      <c r="B16" s="48" t="s">
        <v>49</v>
      </c>
      <c r="C16" s="50"/>
      <c r="F16" s="16" t="s">
        <v>39</v>
      </c>
    </row>
    <row r="17" spans="1:14">
      <c r="A17" s="47">
        <v>45619</v>
      </c>
      <c r="B17" s="48" t="s">
        <v>46</v>
      </c>
      <c r="C17" s="50"/>
      <c r="F17" s="17" t="s">
        <v>41</v>
      </c>
    </row>
    <row r="18" spans="1:14">
      <c r="A18" s="51">
        <v>45658</v>
      </c>
      <c r="B18" s="50" t="s">
        <v>48</v>
      </c>
      <c r="C18" s="50"/>
      <c r="F18" s="17" t="s">
        <v>43</v>
      </c>
    </row>
    <row r="19" spans="1:14">
      <c r="A19" s="51">
        <v>45659</v>
      </c>
      <c r="B19" s="50" t="s">
        <v>56</v>
      </c>
      <c r="C19" s="50"/>
      <c r="F19" s="17" t="s">
        <v>44</v>
      </c>
    </row>
    <row r="20" spans="1:14">
      <c r="A20" s="51">
        <v>45660</v>
      </c>
      <c r="B20" s="50" t="s">
        <v>56</v>
      </c>
      <c r="C20" s="50"/>
    </row>
    <row r="21" spans="1:14">
      <c r="A21" s="51">
        <v>45670</v>
      </c>
      <c r="B21" s="50" t="s">
        <v>25</v>
      </c>
      <c r="C21" s="50"/>
    </row>
    <row r="22" spans="1:14">
      <c r="A22" s="51">
        <v>45699</v>
      </c>
      <c r="B22" s="50" t="s">
        <v>27</v>
      </c>
      <c r="C22" s="50"/>
    </row>
    <row r="23" spans="1:14">
      <c r="A23" s="51">
        <v>45711</v>
      </c>
      <c r="B23" s="50" t="s">
        <v>47</v>
      </c>
      <c r="C23" s="50"/>
    </row>
    <row r="24" spans="1:14">
      <c r="A24" s="51">
        <v>45712</v>
      </c>
      <c r="B24" s="50" t="s">
        <v>49</v>
      </c>
      <c r="C24" s="50"/>
    </row>
    <row r="25" spans="1:14">
      <c r="A25" s="51">
        <v>45736</v>
      </c>
      <c r="B25" s="50" t="s">
        <v>28</v>
      </c>
      <c r="C25" s="50"/>
    </row>
    <row r="26" spans="1:14">
      <c r="A26" s="37">
        <v>45776</v>
      </c>
      <c r="B26" s="15" t="s">
        <v>30</v>
      </c>
      <c r="C26" s="46" t="s">
        <v>66</v>
      </c>
    </row>
    <row r="27" spans="1:14">
      <c r="A27" s="37">
        <v>45780</v>
      </c>
      <c r="B27" s="15" t="s">
        <v>31</v>
      </c>
      <c r="C27" s="46"/>
      <c r="F27"/>
    </row>
    <row r="28" spans="1:14">
      <c r="A28" s="37">
        <v>45781</v>
      </c>
      <c r="B28" s="15" t="s">
        <v>33</v>
      </c>
    </row>
    <row r="29" spans="1:14">
      <c r="A29" s="37">
        <v>45782</v>
      </c>
      <c r="B29" s="15" t="s">
        <v>35</v>
      </c>
    </row>
    <row r="30" spans="1:14" ht="12.95" customHeight="1">
      <c r="A30" s="37">
        <v>45783</v>
      </c>
      <c r="B30" s="15" t="s">
        <v>67</v>
      </c>
      <c r="E30" s="21"/>
    </row>
    <row r="31" spans="1:14">
      <c r="A31" s="37">
        <v>45859</v>
      </c>
      <c r="B31" s="15" t="s">
        <v>37</v>
      </c>
    </row>
    <row r="32" spans="1:14">
      <c r="A32" s="37">
        <v>45880</v>
      </c>
      <c r="B32" s="15" t="s">
        <v>38</v>
      </c>
      <c r="N32" s="22"/>
    </row>
    <row r="33" spans="1:14">
      <c r="A33" s="37">
        <v>45915</v>
      </c>
      <c r="B33" s="15" t="s">
        <v>40</v>
      </c>
      <c r="F33" s="23"/>
      <c r="N33" s="22"/>
    </row>
    <row r="34" spans="1:14">
      <c r="A34" s="37">
        <v>45923</v>
      </c>
      <c r="B34" s="15" t="s">
        <v>42</v>
      </c>
      <c r="F34" s="23"/>
      <c r="N34" s="22"/>
    </row>
    <row r="35" spans="1:14">
      <c r="A35" s="37">
        <v>45943</v>
      </c>
      <c r="B35" s="15" t="s">
        <v>50</v>
      </c>
      <c r="F35" s="23"/>
      <c r="N35" s="22"/>
    </row>
    <row r="36" spans="1:14">
      <c r="A36" s="37">
        <v>45964</v>
      </c>
      <c r="B36" s="15" t="s">
        <v>45</v>
      </c>
      <c r="F36" s="23"/>
      <c r="N36" s="22"/>
    </row>
    <row r="37" spans="1:14">
      <c r="A37" s="37">
        <v>45984</v>
      </c>
      <c r="B37" s="15" t="s">
        <v>46</v>
      </c>
      <c r="F37" s="23"/>
      <c r="N37" s="22"/>
    </row>
    <row r="38" spans="1:14">
      <c r="A38" s="37">
        <v>45985</v>
      </c>
      <c r="B38" s="15" t="s">
        <v>49</v>
      </c>
      <c r="F38" s="23"/>
      <c r="N38" s="22"/>
    </row>
    <row r="39" spans="1:14">
      <c r="A39" s="37">
        <v>46023</v>
      </c>
      <c r="B39" s="15" t="s">
        <v>68</v>
      </c>
      <c r="F39" s="23"/>
      <c r="N39" s="22"/>
    </row>
    <row r="40" spans="1:14">
      <c r="A40" s="37">
        <v>46034</v>
      </c>
      <c r="B40" s="15" t="s">
        <v>69</v>
      </c>
      <c r="F40" s="23"/>
      <c r="N40" s="22"/>
    </row>
    <row r="41" spans="1:14">
      <c r="A41" s="37">
        <v>46064</v>
      </c>
      <c r="B41" s="15" t="s">
        <v>70</v>
      </c>
      <c r="F41" s="23"/>
      <c r="N41" s="22"/>
    </row>
    <row r="42" spans="1:14">
      <c r="A42" s="37">
        <v>46079</v>
      </c>
      <c r="B42" s="15" t="s">
        <v>71</v>
      </c>
      <c r="F42" s="23"/>
      <c r="N42" s="22"/>
    </row>
    <row r="43" spans="1:14">
      <c r="A43" s="37">
        <v>46101</v>
      </c>
      <c r="B43" s="15" t="s">
        <v>72</v>
      </c>
      <c r="F43" s="23"/>
      <c r="N43" s="22"/>
    </row>
    <row r="44" spans="1:14">
      <c r="A44" s="37">
        <v>46141</v>
      </c>
      <c r="B44" s="15" t="s">
        <v>74</v>
      </c>
      <c r="C44" s="46" t="s">
        <v>73</v>
      </c>
      <c r="F44" s="23"/>
      <c r="N44" s="22"/>
    </row>
    <row r="45" spans="1:14">
      <c r="A45" s="37">
        <v>46145</v>
      </c>
      <c r="B45" s="15" t="s">
        <v>75</v>
      </c>
      <c r="F45" s="23"/>
      <c r="N45" s="22"/>
    </row>
    <row r="46" spans="1:14">
      <c r="A46" s="37">
        <v>46146</v>
      </c>
      <c r="B46" s="15" t="s">
        <v>76</v>
      </c>
      <c r="F46" s="23"/>
      <c r="N46" s="22"/>
    </row>
    <row r="47" spans="1:14">
      <c r="A47" s="37">
        <v>46147</v>
      </c>
      <c r="B47" s="15" t="s">
        <v>77</v>
      </c>
      <c r="F47" s="23"/>
      <c r="N47" s="22"/>
    </row>
    <row r="48" spans="1:14">
      <c r="A48" s="37">
        <v>46148</v>
      </c>
      <c r="B48" s="15" t="s">
        <v>67</v>
      </c>
      <c r="F48" s="23"/>
      <c r="N48" s="22"/>
    </row>
    <row r="49" spans="1:14">
      <c r="A49" s="37">
        <v>46223</v>
      </c>
      <c r="B49" s="15" t="s">
        <v>78</v>
      </c>
      <c r="F49" s="23"/>
      <c r="N49" s="22"/>
    </row>
    <row r="50" spans="1:14">
      <c r="A50" s="37">
        <v>46245</v>
      </c>
      <c r="B50" s="15" t="s">
        <v>79</v>
      </c>
      <c r="F50" s="23"/>
      <c r="N50" s="22"/>
    </row>
    <row r="51" spans="1:14">
      <c r="A51" s="37">
        <v>46286</v>
      </c>
      <c r="B51" s="15" t="s">
        <v>80</v>
      </c>
      <c r="F51" s="23"/>
      <c r="N51" s="22"/>
    </row>
    <row r="52" spans="1:14">
      <c r="A52" s="37">
        <v>46287</v>
      </c>
      <c r="B52" s="15" t="s">
        <v>81</v>
      </c>
      <c r="F52" s="23"/>
      <c r="N52" s="22"/>
    </row>
    <row r="53" spans="1:14">
      <c r="A53" s="37">
        <v>46288</v>
      </c>
      <c r="B53" s="15" t="s">
        <v>82</v>
      </c>
      <c r="F53" s="23"/>
      <c r="N53" s="22"/>
    </row>
    <row r="54" spans="1:14">
      <c r="A54" s="37">
        <v>46307</v>
      </c>
      <c r="B54" s="15" t="s">
        <v>83</v>
      </c>
      <c r="F54" s="23"/>
      <c r="N54" s="22"/>
    </row>
    <row r="55" spans="1:14">
      <c r="A55" s="37">
        <v>46329</v>
      </c>
      <c r="B55" s="15" t="s">
        <v>84</v>
      </c>
      <c r="F55" s="23"/>
      <c r="N55" s="22"/>
    </row>
    <row r="56" spans="1:14">
      <c r="A56" s="37">
        <v>46349</v>
      </c>
      <c r="B56" s="15" t="s">
        <v>85</v>
      </c>
      <c r="F56" s="23"/>
    </row>
    <row r="57" spans="1:14">
      <c r="A57" s="37">
        <v>46388</v>
      </c>
      <c r="B57" s="15" t="s">
        <v>68</v>
      </c>
    </row>
    <row r="58" spans="1:14">
      <c r="A58" s="37">
        <v>46398</v>
      </c>
      <c r="B58" s="15" t="s">
        <v>69</v>
      </c>
    </row>
    <row r="59" spans="1:14">
      <c r="A59" s="37">
        <v>46429</v>
      </c>
      <c r="B59" s="15" t="s">
        <v>70</v>
      </c>
    </row>
    <row r="60" spans="1:14">
      <c r="A60" s="37">
        <v>46441</v>
      </c>
      <c r="B60" s="15" t="s">
        <v>71</v>
      </c>
    </row>
    <row r="61" spans="1:14">
      <c r="A61" s="37">
        <v>46467</v>
      </c>
      <c r="B61" s="15" t="s">
        <v>72</v>
      </c>
    </row>
    <row r="62" spans="1:14">
      <c r="A62" s="37">
        <v>46468</v>
      </c>
      <c r="B62" s="15" t="s">
        <v>67</v>
      </c>
      <c r="G62" s="22"/>
    </row>
    <row r="63" spans="1:14">
      <c r="G63" s="22"/>
    </row>
    <row r="64" spans="1:14">
      <c r="G64" s="22"/>
    </row>
    <row r="65" spans="7:7">
      <c r="G65" s="22"/>
    </row>
    <row r="66" spans="7:7">
      <c r="G66" s="22"/>
    </row>
    <row r="67" spans="7:7">
      <c r="G67" s="22"/>
    </row>
    <row r="68" spans="7:7">
      <c r="G68" s="22"/>
    </row>
    <row r="69" spans="7:7">
      <c r="G69" s="22"/>
    </row>
    <row r="70" spans="7:7">
      <c r="G70" s="22"/>
    </row>
    <row r="71" spans="7:7">
      <c r="G71" s="22"/>
    </row>
    <row r="72" spans="7:7">
      <c r="G72" s="22"/>
    </row>
    <row r="73" spans="7:7">
      <c r="G73" s="22"/>
    </row>
    <row r="74" spans="7:7">
      <c r="G74" s="22"/>
    </row>
    <row r="75" spans="7:7">
      <c r="G75" s="22"/>
    </row>
    <row r="76" spans="7:7">
      <c r="G76" s="22"/>
    </row>
    <row r="77" spans="7:7">
      <c r="G77" s="22"/>
    </row>
    <row r="78" spans="7:7">
      <c r="G78" s="22"/>
    </row>
    <row r="79" spans="7:7">
      <c r="G79" s="22"/>
    </row>
    <row r="80" spans="7:7">
      <c r="G80" s="22"/>
    </row>
    <row r="81" spans="6:11">
      <c r="G81" s="22"/>
    </row>
    <row r="83" spans="6:11">
      <c r="F83" s="42"/>
      <c r="G83" s="20"/>
      <c r="H83" s="20"/>
      <c r="I83" s="20"/>
      <c r="J83" s="20"/>
    </row>
    <row r="84" spans="6:11">
      <c r="F84" s="20"/>
      <c r="G84" s="20"/>
      <c r="H84" s="20"/>
      <c r="I84" s="20"/>
      <c r="J84" s="20"/>
    </row>
    <row r="85" spans="6:11">
      <c r="F85" s="43"/>
      <c r="K85" s="22"/>
    </row>
    <row r="86" spans="6:11">
      <c r="F86" s="43"/>
      <c r="K86" s="22"/>
    </row>
    <row r="87" spans="6:11">
      <c r="F87" s="43"/>
      <c r="K87" s="22"/>
    </row>
    <row r="88" spans="6:11">
      <c r="F88" s="43"/>
      <c r="K88" s="22"/>
    </row>
    <row r="89" spans="6:11">
      <c r="F89" s="43"/>
      <c r="K89" s="22"/>
    </row>
    <row r="90" spans="6:11">
      <c r="F90" s="43"/>
      <c r="K90" s="22"/>
    </row>
    <row r="91" spans="6:11">
      <c r="F91" s="43"/>
      <c r="K91" s="22"/>
    </row>
    <row r="92" spans="6:11">
      <c r="F92" s="43"/>
      <c r="K92" s="22"/>
    </row>
    <row r="93" spans="6:11">
      <c r="F93" s="43"/>
      <c r="K93" s="22"/>
    </row>
    <row r="94" spans="6:11">
      <c r="F94" s="43"/>
      <c r="K94" s="22"/>
    </row>
    <row r="95" spans="6:11">
      <c r="F95" s="43"/>
      <c r="K95" s="22"/>
    </row>
    <row r="96" spans="6:11">
      <c r="F96" s="43"/>
      <c r="K96" s="22"/>
    </row>
    <row r="97" spans="6:11">
      <c r="F97" s="43"/>
      <c r="K97" s="22"/>
    </row>
    <row r="98" spans="6:11">
      <c r="F98" s="43"/>
      <c r="K98" s="22"/>
    </row>
    <row r="99" spans="6:11">
      <c r="F99" s="43"/>
      <c r="K99" s="22"/>
    </row>
    <row r="100" spans="6:11">
      <c r="F100" s="43"/>
      <c r="K100" s="22"/>
    </row>
    <row r="101" spans="6:11">
      <c r="F101" s="43"/>
      <c r="K101" s="22"/>
    </row>
    <row r="105" spans="6:11">
      <c r="F105" s="23"/>
    </row>
    <row r="106" spans="6:11">
      <c r="F106" s="23"/>
    </row>
    <row r="107" spans="6:11">
      <c r="F107" s="23"/>
    </row>
    <row r="108" spans="6:11">
      <c r="F108" s="23"/>
    </row>
    <row r="109" spans="6:11">
      <c r="F109" s="23"/>
    </row>
    <row r="110" spans="6:11">
      <c r="F110" s="23"/>
    </row>
    <row r="111" spans="6:11">
      <c r="F111" s="23"/>
    </row>
    <row r="112" spans="6:11">
      <c r="F112" s="23"/>
    </row>
    <row r="113" spans="6:10">
      <c r="F113" s="23"/>
    </row>
    <row r="114" spans="6:10">
      <c r="F114" s="23"/>
    </row>
    <row r="115" spans="6:10">
      <c r="F115" s="23"/>
    </row>
    <row r="116" spans="6:10" ht="15" customHeight="1">
      <c r="F116" s="23"/>
    </row>
    <row r="117" spans="6:10" ht="15" customHeight="1">
      <c r="F117" s="23"/>
    </row>
    <row r="118" spans="6:10" ht="15" customHeight="1">
      <c r="F118" s="44"/>
      <c r="H118" s="45"/>
    </row>
    <row r="119" spans="6:10" ht="15" customHeight="1">
      <c r="F119" s="23"/>
    </row>
    <row r="120" spans="6:10" ht="15" customHeight="1">
      <c r="F120" s="23"/>
    </row>
    <row r="121" spans="6:10" ht="15" customHeight="1">
      <c r="F121" s="44"/>
      <c r="H121" s="45"/>
      <c r="J121" s="24"/>
    </row>
    <row r="122" spans="6:10" ht="15" customHeight="1">
      <c r="F122" s="44"/>
      <c r="H122" s="45"/>
      <c r="J122" s="24"/>
    </row>
    <row r="123" spans="6:10" ht="15" customHeight="1">
      <c r="F123" s="44"/>
      <c r="H123" s="45"/>
      <c r="J123" s="24"/>
    </row>
    <row r="124" spans="6:10" ht="15" customHeight="1">
      <c r="F124" s="44"/>
      <c r="H124" s="45"/>
      <c r="J124" s="24"/>
    </row>
    <row r="125" spans="6:10" ht="15" customHeight="1">
      <c r="F125" s="44"/>
      <c r="H125" s="45"/>
      <c r="J125" s="24"/>
    </row>
    <row r="126" spans="6:10" ht="15" customHeight="1">
      <c r="F126" s="44"/>
      <c r="H126" s="45"/>
      <c r="J126" s="24"/>
    </row>
    <row r="127" spans="6:10" ht="15" customHeight="1">
      <c r="F127" s="44"/>
      <c r="H127" s="45"/>
      <c r="J127" s="24"/>
    </row>
    <row r="128" spans="6:10" ht="15" customHeight="1">
      <c r="F128" s="44"/>
      <c r="H128" s="45"/>
      <c r="J128" s="24"/>
    </row>
    <row r="129" spans="6:10" ht="15" customHeight="1">
      <c r="F129" s="44"/>
      <c r="H129" s="45"/>
      <c r="J129" s="24"/>
    </row>
    <row r="130" spans="6:10" ht="15" customHeight="1">
      <c r="F130" s="44"/>
      <c r="H130" s="45"/>
      <c r="J130" s="24"/>
    </row>
    <row r="131" spans="6:10" ht="15" customHeight="1">
      <c r="F131" s="44"/>
      <c r="H131" s="45"/>
      <c r="J131" s="24"/>
    </row>
    <row r="132" spans="6:10" ht="15" customHeight="1">
      <c r="F132" s="44"/>
      <c r="H132" s="45"/>
      <c r="J132"/>
    </row>
    <row r="133" spans="6:10" ht="15" customHeight="1"/>
    <row r="134" spans="6:10" ht="15" customHeight="1"/>
    <row r="135" spans="6:10" ht="15" customHeight="1"/>
    <row r="136" spans="6:10" ht="15" customHeight="1"/>
    <row r="137" spans="6:10" ht="15" customHeight="1"/>
  </sheetData>
  <autoFilter ref="A2:C2" xr:uid="{00000000-0009-0000-0000-000003000000}"/>
  <phoneticPr fontId="1"/>
  <conditionalFormatting sqref="A3:B17">
    <cfRule type="timePeriod" dxfId="0" priority="1" timePeriod="yesterday">
      <formula>FLOOR(A3,1)=TODAY()-1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休日振替簿（入力用）</vt:lpstr>
      <vt:lpstr>休日振替簿（見本）</vt:lpstr>
      <vt:lpstr>休日振替簿（手書き用）_PDF化</vt:lpstr>
      <vt:lpstr>プルダウン用シート</vt:lpstr>
      <vt:lpstr>'休日振替簿（見本）'!Print_Area</vt:lpstr>
      <vt:lpstr>'休日振替簿（手書き用）_PDF化'!Print_Area</vt:lpstr>
      <vt:lpstr>'休日振替簿（入力用）'!Print_Area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福田 貴紀;木</dc:creator>
  <cp:lastModifiedBy>平林　大介</cp:lastModifiedBy>
  <cp:lastPrinted>2025-05-22T05:30:50Z</cp:lastPrinted>
  <dcterms:created xsi:type="dcterms:W3CDTF">2017-04-18T23:40:24Z</dcterms:created>
  <dcterms:modified xsi:type="dcterms:W3CDTF">2026-02-15T08:10:30Z</dcterms:modified>
</cp:coreProperties>
</file>